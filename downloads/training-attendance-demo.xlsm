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7490" tabRatio="600" firstSheet="0" activeTab="0" autoFilterDateGrouping="1"/>
  </bookViews>
  <sheets>
    <sheet name="The Cave of Wonders" sheetId="1" state="visible" r:id="rId1"/>
    <sheet name="Dashboard" sheetId="2" state="visible" r:id="rId2"/>
    <sheet name="MasterLog" sheetId="3" state="visible" r:id="rId3"/>
    <sheet name="thematrix" sheetId="4" state="visible" r:id="rId4"/>
    <sheet name="Sheet1" sheetId="5" state="visible" r:id="rId5"/>
  </sheets>
  <definedNames>
    <definedName name="CHART_HELPER">OFFSET(thematrix!$A$2,0,0,COUNTA(thematrix!$A$2:$A$3000),5)</definedName>
    <definedName name="departmentselector">#REF!</definedName>
    <definedName name="Dropdownres">thematrix!$A$3:$P$23</definedName>
    <definedName name="_xlnm._FilterDatabase" localSheetId="4" hidden="1">'Sheet1'!$A$1:$A$4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0000000"/>
    <numFmt numFmtId="165" formatCode="m/d/yy;@"/>
    <numFmt numFmtId="166" formatCode="0.000"/>
    <numFmt numFmtId="167" formatCode="yyyy-mm-dd h:mm:ss"/>
  </numFmts>
  <fonts count="26">
    <font>
      <name val="Aptos Narrow"/>
      <family val="2"/>
      <color theme="1"/>
      <sz val="11"/>
      <scheme val="minor"/>
    </font>
    <font>
      <name val="Aptos Narrow"/>
      <family val="2"/>
      <color theme="1"/>
      <sz val="20"/>
      <scheme val="minor"/>
    </font>
    <font>
      <name val="Aptos Display"/>
      <family val="2"/>
      <color theme="1"/>
      <sz val="11"/>
    </font>
    <font>
      <name val="Aptos Display"/>
      <family val="2"/>
      <b val="1"/>
      <color theme="1"/>
      <sz val="28"/>
    </font>
    <font>
      <name val="Aptos Display"/>
      <family val="2"/>
      <color rgb="FF000000"/>
      <sz val="10"/>
    </font>
    <font>
      <name val="Aptos Display"/>
      <family val="2"/>
      <sz val="11"/>
    </font>
    <font>
      <name val="Aptos Display"/>
      <family val="2"/>
      <b val="1"/>
      <color theme="1"/>
      <sz val="10"/>
    </font>
    <font>
      <name val="Aptos Narrow"/>
      <family val="2"/>
      <b val="1"/>
      <color theme="1"/>
      <sz val="11"/>
      <scheme val="minor"/>
    </font>
    <font>
      <name val="Aptos SemiBold"/>
      <family val="2"/>
      <color theme="1"/>
      <sz val="11"/>
    </font>
    <font>
      <name val="Aptos Display"/>
      <family val="2"/>
      <b val="1"/>
      <i val="1"/>
      <sz val="11"/>
    </font>
    <font>
      <name val="Aptos Display"/>
      <family val="2"/>
      <b val="1"/>
      <i val="1"/>
      <color theme="1"/>
      <sz val="11"/>
    </font>
    <font>
      <name val="Aptos Display"/>
      <family val="2"/>
      <color theme="0"/>
      <sz val="10"/>
    </font>
    <font>
      <name val="Aptos Narrow"/>
      <family val="2"/>
      <b val="1"/>
      <color theme="0"/>
      <sz val="11"/>
      <scheme val="minor"/>
    </font>
    <font>
      <name val="Aptos Black"/>
      <family val="2"/>
      <b val="1"/>
      <color theme="0"/>
      <sz val="20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8" tint="-0.499984740745262"/>
      <sz val="11"/>
      <scheme val="minor"/>
    </font>
    <font>
      <name val="Aptos Display"/>
      <family val="2"/>
      <color theme="8" tint="-0.249977111117893"/>
      <sz val="11"/>
    </font>
    <font>
      <name val="Avenir Next LT Pro Demi"/>
      <family val="2"/>
      <b val="1"/>
      <color theme="8" tint="-0.499984740745262"/>
      <sz val="11"/>
    </font>
    <font>
      <name val="Avenir Next LT Pro Demi"/>
      <family val="2"/>
      <color theme="8" tint="-0.499984740745262"/>
      <sz val="11"/>
    </font>
    <font>
      <name val="Avenir Next LT Pro"/>
      <family val="2"/>
      <color theme="1"/>
      <sz val="11"/>
    </font>
    <font>
      <name val="Avenir Next LT Pro"/>
      <family val="2"/>
      <sz val="10"/>
    </font>
    <font>
      <name val="Avenir Next LT Pro"/>
      <family val="2"/>
      <b val="1"/>
      <sz val="10"/>
    </font>
    <font>
      <name val="Avenir Next LT Pro"/>
      <family val="2"/>
      <color theme="1"/>
      <sz val="10"/>
    </font>
    <font>
      <name val="Avenir Next LT Pro"/>
      <family val="2"/>
      <color rgb="FFE6E6E6"/>
      <sz val="10"/>
    </font>
    <font>
      <name val="Aptos Narrow"/>
      <family val="2"/>
      <sz val="8"/>
      <scheme val="minor"/>
    </font>
  </fonts>
  <fills count="10">
    <fill>
      <patternFill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theme="8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499984740745262"/>
      </left>
      <right style="medium">
        <color theme="8" tint="-0.499984740745262"/>
      </right>
      <top/>
      <bottom style="medium">
        <color theme="8" tint="-0.499984740745262"/>
      </bottom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8" tint="-0.499984740745262"/>
      </left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5" fillId="0" borderId="0"/>
    <xf numFmtId="9" fontId="15" fillId="0" borderId="0"/>
  </cellStyleXfs>
  <cellXfs count="116">
    <xf numFmtId="0" fontId="0" fillId="0" borderId="0" pivotButton="0" quotePrefix="0" xfId="0"/>
    <xf numFmtId="0" fontId="0" fillId="4" borderId="0" pivotButton="0" quotePrefix="0" xfId="0"/>
    <xf numFmtId="0" fontId="1" fillId="4" borderId="0" pivotButton="0" quotePrefix="0" xfId="0"/>
    <xf numFmtId="0" fontId="3" fillId="4" borderId="0" pivotButton="0" quotePrefix="0" xfId="0"/>
    <xf numFmtId="0" fontId="0" fillId="4" borderId="0" applyAlignment="1" pivotButton="0" quotePrefix="0" xfId="0">
      <alignment horizontal="right"/>
    </xf>
    <xf numFmtId="0" fontId="2" fillId="2" borderId="0" pivotButton="0" quotePrefix="0" xfId="0"/>
    <xf numFmtId="0" fontId="0" fillId="6" borderId="5" pivotButton="0" quotePrefix="0" xfId="0"/>
    <xf numFmtId="0" fontId="0" fillId="6" borderId="6" pivotButton="0" quotePrefix="0" xfId="0"/>
    <xf numFmtId="0" fontId="0" fillId="6" borderId="7" pivotButton="0" quotePrefix="0" xfId="0"/>
    <xf numFmtId="0" fontId="0" fillId="6" borderId="8" pivotButton="0" quotePrefix="0" xfId="0"/>
    <xf numFmtId="0" fontId="0" fillId="6" borderId="0" pivotButton="0" quotePrefix="0" xfId="0"/>
    <xf numFmtId="0" fontId="0" fillId="6" borderId="9" pivotButton="0" quotePrefix="0" xfId="0"/>
    <xf numFmtId="0" fontId="0" fillId="6" borderId="10" pivotButton="0" quotePrefix="0" xfId="0"/>
    <xf numFmtId="0" fontId="0" fillId="6" borderId="11" pivotButton="0" quotePrefix="0" xfId="0"/>
    <xf numFmtId="0" fontId="0" fillId="6" borderId="12" pivotButton="0" quotePrefix="0" xfId="0"/>
    <xf numFmtId="0" fontId="0" fillId="6" borderId="13" pivotButton="0" quotePrefix="0" xfId="0"/>
    <xf numFmtId="0" fontId="0" fillId="6" borderId="14" pivotButton="0" quotePrefix="0" xfId="0"/>
    <xf numFmtId="0" fontId="0" fillId="6" borderId="15" pivotButton="0" quotePrefix="0" xfId="0"/>
    <xf numFmtId="0" fontId="7" fillId="4" borderId="0" pivotButton="0" quotePrefix="0" xfId="0"/>
    <xf numFmtId="0" fontId="0" fillId="2" borderId="0" pivotButton="0" quotePrefix="0" xfId="0"/>
    <xf numFmtId="0" fontId="0" fillId="3" borderId="0" pivotButton="0" quotePrefix="0" xfId="0"/>
    <xf numFmtId="0" fontId="13" fillId="2" borderId="0" pivotButton="0" quotePrefix="0" xfId="0"/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 wrapText="1"/>
    </xf>
    <xf numFmtId="0" fontId="0" fillId="0" borderId="15" applyAlignment="1" pivotButton="0" quotePrefix="0" xfId="0">
      <alignment wrapText="1"/>
    </xf>
    <xf numFmtId="0" fontId="0" fillId="0" borderId="16" applyAlignment="1" pivotButton="0" quotePrefix="0" xfId="0">
      <alignment wrapText="1"/>
    </xf>
    <xf numFmtId="0" fontId="12" fillId="2" borderId="13" applyAlignment="1" pivotButton="0" quotePrefix="0" xfId="0">
      <alignment wrapText="1"/>
    </xf>
    <xf numFmtId="0" fontId="7" fillId="0" borderId="0" pivotButton="0" quotePrefix="0" xfId="0"/>
    <xf numFmtId="0" fontId="14" fillId="0" borderId="0" pivotButton="0" quotePrefix="0" xfId="0"/>
    <xf numFmtId="0" fontId="7" fillId="0" borderId="0" applyAlignment="1" pivotButton="0" quotePrefix="0" xfId="0">
      <alignment wrapText="1"/>
    </xf>
    <xf numFmtId="0" fontId="2" fillId="2" borderId="0" applyAlignment="1" pivotButton="0" quotePrefix="0" xfId="0">
      <alignment horizontal="center" textRotation="90"/>
    </xf>
    <xf numFmtId="0" fontId="11" fillId="3" borderId="17" applyAlignment="1" pivotButton="0" quotePrefix="0" xfId="0">
      <alignment horizontal="center" vertical="center" textRotation="90" wrapText="1"/>
    </xf>
    <xf numFmtId="164" fontId="11" fillId="3" borderId="17" applyAlignment="1" pivotButton="0" quotePrefix="0" xfId="0">
      <alignment horizontal="center" vertical="center" textRotation="90" wrapText="1"/>
    </xf>
    <xf numFmtId="165" fontId="11" fillId="3" borderId="17" applyAlignment="1" pivotButton="0" quotePrefix="0" xfId="0">
      <alignment horizontal="center" vertical="center" textRotation="90" wrapText="1"/>
    </xf>
    <xf numFmtId="0" fontId="6" fillId="2" borderId="1" applyAlignment="1" pivotButton="0" quotePrefix="0" xfId="0">
      <alignment horizontal="center" vertical="center" textRotation="90" wrapText="1"/>
    </xf>
    <xf numFmtId="0" fontId="2" fillId="2" borderId="1" applyAlignment="1" pivotButton="0" quotePrefix="0" xfId="0">
      <alignment horizontal="center" textRotation="90"/>
    </xf>
    <xf numFmtId="0" fontId="2" fillId="3" borderId="0" applyAlignment="1" pivotButton="0" quotePrefix="0" xfId="0">
      <alignment horizontal="center" textRotation="90"/>
    </xf>
    <xf numFmtId="0" fontId="2" fillId="3" borderId="0" pivotButton="0" quotePrefix="0" xfId="0"/>
    <xf numFmtId="0" fontId="2" fillId="0" borderId="0" pivotButton="0" quotePrefix="0" xfId="0"/>
    <xf numFmtId="164" fontId="2" fillId="0" borderId="0" pivotButton="0" quotePrefix="0" xfId="0"/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/>
    </xf>
    <xf numFmtId="165" fontId="2" fillId="0" borderId="0" pivotButton="0" quotePrefix="0" xfId="0"/>
    <xf numFmtId="0" fontId="2" fillId="0" borderId="0" applyAlignment="1" applyProtection="1" pivotButton="0" quotePrefix="0" xfId="0">
      <alignment horizontal="left"/>
      <protection locked="0" hidden="0"/>
    </xf>
    <xf numFmtId="164" fontId="5" fillId="0" borderId="0" applyAlignment="1" pivotButton="0" quotePrefix="0" xfId="0">
      <alignment horizontal="center" vertical="center"/>
    </xf>
    <xf numFmtId="0" fontId="2" fillId="0" borderId="0" applyAlignment="1" applyProtection="1" pivotButton="0" quotePrefix="0" xfId="0">
      <alignment horizontal="center" vertical="center"/>
      <protection locked="0" hidden="0"/>
    </xf>
    <xf numFmtId="164" fontId="2" fillId="0" borderId="0" applyAlignment="1" pivotButton="0" quotePrefix="0" xfId="0">
      <alignment horizontal="center"/>
    </xf>
    <xf numFmtId="0" fontId="10" fillId="0" borderId="0" applyAlignment="1" pivotButton="0" quotePrefix="0" xfId="0">
      <alignment horizontal="center" vertical="center"/>
    </xf>
    <xf numFmtId="14" fontId="2" fillId="0" borderId="0" pivotButton="0" quotePrefix="0" xfId="0"/>
    <xf numFmtId="164" fontId="4" fillId="0" borderId="0" pivotButton="0" quotePrefix="0" xfId="0"/>
    <xf numFmtId="165" fontId="2" fillId="0" borderId="0" applyAlignment="1" pivotButton="0" quotePrefix="0" xfId="0">
      <alignment horizontal="center" vertical="center" wrapText="1"/>
    </xf>
    <xf numFmtId="165" fontId="5" fillId="0" borderId="0" applyAlignment="1" pivotButton="0" quotePrefix="1" xfId="0">
      <alignment horizontal="center" vertical="center"/>
    </xf>
    <xf numFmtId="0" fontId="5" fillId="0" borderId="0" applyAlignment="1" pivotButton="0" quotePrefix="1" xfId="0">
      <alignment horizontal="center" vertical="center"/>
    </xf>
    <xf numFmtId="0" fontId="9" fillId="0" borderId="0" applyAlignment="1" pivotButton="0" quotePrefix="1" xfId="0">
      <alignment horizontal="center" vertical="center"/>
    </xf>
    <xf numFmtId="0" fontId="8" fillId="0" borderId="0" pivotButton="0" quotePrefix="0" xfId="0"/>
    <xf numFmtId="0" fontId="8" fillId="0" borderId="0" applyAlignment="1" pivotButton="0" quotePrefix="0" xfId="0">
      <alignment horizontal="center"/>
    </xf>
    <xf numFmtId="0" fontId="2" fillId="0" borderId="0" pivotButton="0" quotePrefix="1" xfId="0"/>
    <xf numFmtId="16" fontId="2" fillId="0" borderId="0" pivotButton="0" quotePrefix="0" xfId="0"/>
    <xf numFmtId="2" fontId="11" fillId="3" borderId="17" applyAlignment="1" pivotButton="0" quotePrefix="0" xfId="0">
      <alignment horizontal="center" vertical="center" textRotation="90" wrapText="1"/>
    </xf>
    <xf numFmtId="2" fontId="2" fillId="0" borderId="0" applyAlignment="1" pivotButton="0" quotePrefix="1" xfId="0">
      <alignment horizontal="center" vertical="center"/>
    </xf>
    <xf numFmtId="2" fontId="2" fillId="0" borderId="0" applyAlignment="1" pivotButton="0" quotePrefix="0" xfId="0">
      <alignment horizontal="center" vertical="center"/>
    </xf>
    <xf numFmtId="2" fontId="2" fillId="0" borderId="0" applyAlignment="1" pivotButton="0" quotePrefix="0" xfId="1">
      <alignment horizontal="center" vertical="center"/>
    </xf>
    <xf numFmtId="0" fontId="16" fillId="2" borderId="0" pivotButton="0" quotePrefix="0" xfId="0"/>
    <xf numFmtId="0" fontId="0" fillId="3" borderId="0" applyAlignment="1" pivotButton="0" quotePrefix="0" xfId="0">
      <alignment horizontal="right"/>
    </xf>
    <xf numFmtId="0" fontId="18" fillId="3" borderId="0" applyAlignment="1" pivotButton="0" quotePrefix="0" xfId="0">
      <alignment horizontal="right"/>
    </xf>
    <xf numFmtId="0" fontId="16" fillId="3" borderId="0" applyAlignment="1" pivotButton="0" quotePrefix="0" xfId="0">
      <alignment horizontal="right"/>
    </xf>
    <xf numFmtId="0" fontId="19" fillId="3" borderId="0" pivotButton="0" quotePrefix="0" xfId="0"/>
    <xf numFmtId="164" fontId="17" fillId="7" borderId="0" applyAlignment="1" pivotButton="0" quotePrefix="0" xfId="0">
      <alignment horizontal="center"/>
    </xf>
    <xf numFmtId="0" fontId="20" fillId="3" borderId="0" applyAlignment="1" pivotButton="0" quotePrefix="0" xfId="0">
      <alignment vertical="center"/>
    </xf>
    <xf numFmtId="0" fontId="21" fillId="0" borderId="19" applyAlignment="1" pivotButton="0" quotePrefix="0" xfId="0">
      <alignment horizontal="center" vertical="center" wrapText="1"/>
    </xf>
    <xf numFmtId="164" fontId="21" fillId="0" borderId="19" applyAlignment="1" pivotButton="0" quotePrefix="0" xfId="0">
      <alignment horizontal="center" vertical="center" wrapText="1"/>
    </xf>
    <xf numFmtId="165" fontId="21" fillId="0" borderId="19" applyAlignment="1" pivotButton="0" quotePrefix="0" xfId="0">
      <alignment horizontal="center" vertical="center" wrapText="1"/>
    </xf>
    <xf numFmtId="2" fontId="21" fillId="0" borderId="19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center" vertical="center" wrapText="1"/>
    </xf>
    <xf numFmtId="0" fontId="21" fillId="0" borderId="19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23" fillId="0" borderId="19" pivotButton="0" quotePrefix="0" xfId="0"/>
    <xf numFmtId="14" fontId="23" fillId="0" borderId="19" pivotButton="0" quotePrefix="0" xfId="0"/>
    <xf numFmtId="166" fontId="23" fillId="0" borderId="19" pivotButton="0" quotePrefix="0" xfId="0"/>
    <xf numFmtId="0" fontId="23" fillId="0" borderId="19" applyAlignment="1" pivotButton="0" quotePrefix="0" xfId="0">
      <alignment horizontal="center"/>
    </xf>
    <xf numFmtId="0" fontId="23" fillId="0" borderId="0" pivotButton="0" quotePrefix="0" xfId="0"/>
    <xf numFmtId="0" fontId="21" fillId="0" borderId="19" applyAlignment="1" pivotButton="0" quotePrefix="0" xfId="0">
      <alignment horizontal="left" vertical="top"/>
    </xf>
    <xf numFmtId="0" fontId="21" fillId="0" borderId="21" applyAlignment="1" pivotButton="0" quotePrefix="0" xfId="0">
      <alignment horizontal="left"/>
    </xf>
    <xf numFmtId="0" fontId="21" fillId="0" borderId="19" applyAlignment="1" pivotButton="0" quotePrefix="0" xfId="0">
      <alignment horizontal="left"/>
    </xf>
    <xf numFmtId="0" fontId="24" fillId="0" borderId="0" pivotButton="0" quotePrefix="0" xfId="0"/>
    <xf numFmtId="164" fontId="23" fillId="0" borderId="19" pivotButton="0" quotePrefix="0" xfId="0"/>
    <xf numFmtId="164" fontId="23" fillId="0" borderId="0" pivotButton="0" quotePrefix="0" xfId="0"/>
    <xf numFmtId="14" fontId="23" fillId="0" borderId="0" pivotButton="0" quotePrefix="0" xfId="0"/>
    <xf numFmtId="0" fontId="23" fillId="0" borderId="0" applyAlignment="1" pivotButton="0" quotePrefix="0" xfId="0">
      <alignment horizontal="right"/>
    </xf>
    <xf numFmtId="2" fontId="23" fillId="0" borderId="0" pivotButton="0" quotePrefix="0" xfId="0"/>
    <xf numFmtId="0" fontId="21" fillId="8" borderId="19" applyAlignment="1" pivotButton="0" quotePrefix="0" xfId="0">
      <alignment horizontal="left"/>
    </xf>
    <xf numFmtId="0" fontId="21" fillId="9" borderId="19" applyAlignment="1" pivotButton="0" quotePrefix="0" xfId="0">
      <alignment horizontal="left"/>
    </xf>
    <xf numFmtId="0" fontId="21" fillId="0" borderId="20" applyAlignment="1" pivotButton="0" quotePrefix="0" xfId="0">
      <alignment horizontal="left"/>
    </xf>
    <xf numFmtId="0" fontId="20" fillId="4" borderId="18" applyAlignment="1" pivotButton="0" quotePrefix="0" xfId="0">
      <alignment horizontal="center" vertical="center"/>
    </xf>
    <xf numFmtId="0" fontId="20" fillId="4" borderId="17" applyAlignment="1" pivotButton="0" quotePrefix="0" xfId="0">
      <alignment horizontal="center" vertical="center"/>
    </xf>
    <xf numFmtId="164" fontId="20" fillId="4" borderId="18" applyAlignment="1" pivotButton="0" quotePrefix="0" xfId="0">
      <alignment horizontal="center" vertical="center"/>
    </xf>
    <xf numFmtId="164" fontId="20" fillId="4" borderId="17" applyAlignment="1" pivotButton="0" quotePrefix="0" xfId="0">
      <alignment horizontal="center" vertical="center"/>
    </xf>
    <xf numFmtId="0" fontId="20" fillId="4" borderId="18" applyAlignment="1" applyProtection="1" pivotButton="0" quotePrefix="0" xfId="0">
      <alignment horizontal="center" vertical="center"/>
      <protection locked="0" hidden="0"/>
    </xf>
    <xf numFmtId="0" fontId="20" fillId="4" borderId="17" applyAlignment="1" applyProtection="1" pivotButton="0" quotePrefix="0" xfId="0">
      <alignment horizontal="center" vertical="center"/>
      <protection locked="0" hidden="0"/>
    </xf>
    <xf numFmtId="0" fontId="0" fillId="6" borderId="2" applyAlignment="1" pivotButton="0" quotePrefix="0" xfId="0">
      <alignment horizontal="center"/>
    </xf>
    <xf numFmtId="0" fontId="0" fillId="6" borderId="4" applyAlignment="1" pivotButton="0" quotePrefix="0" xfId="0">
      <alignment horizontal="center"/>
    </xf>
    <xf numFmtId="0" fontId="0" fillId="5" borderId="2" applyAlignment="1" pivotButton="0" quotePrefix="0" xfId="0">
      <alignment horizontal="center"/>
    </xf>
    <xf numFmtId="0" fontId="0" fillId="5" borderId="3" applyAlignment="1" pivotButton="0" quotePrefix="0" xfId="0">
      <alignment horizontal="center"/>
    </xf>
    <xf numFmtId="0" fontId="0" fillId="5" borderId="4" applyAlignment="1" pivotButton="0" quotePrefix="0" xfId="0">
      <alignment horizontal="center"/>
    </xf>
    <xf numFmtId="0" fontId="20" fillId="4" borderId="22" applyAlignment="1" pivotButton="0" quotePrefix="0" xfId="0">
      <alignment horizontal="center" vertical="center"/>
    </xf>
    <xf numFmtId="0" fontId="0" fillId="0" borderId="17" pivotButton="0" quotePrefix="0" xfId="0"/>
    <xf numFmtId="164" fontId="20" fillId="4" borderId="22" applyAlignment="1" pivotButton="0" quotePrefix="0" xfId="0">
      <alignment horizontal="center" vertical="center"/>
    </xf>
    <xf numFmtId="0" fontId="20" fillId="4" borderId="22" applyAlignment="1" applyProtection="1" pivotButton="0" quotePrefix="0" xfId="0">
      <alignment horizontal="center" vertical="center"/>
      <protection locked="0" hidden="0"/>
    </xf>
    <xf numFmtId="0" fontId="0" fillId="0" borderId="17" applyProtection="1" pivotButton="0" quotePrefix="0" xfId="0">
      <protection locked="0" hidden="0"/>
    </xf>
    <xf numFmtId="167" fontId="0" fillId="0" borderId="0" pivotButton="0" quotePrefix="0" xfId="0"/>
    <xf numFmtId="0" fontId="0" fillId="5" borderId="19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0" fillId="6" borderId="19" applyAlignment="1" pivotButton="0" quotePrefix="0" xfId="0">
      <alignment horizontal="center"/>
    </xf>
  </cellXfs>
  <cellStyles count="2">
    <cellStyle name="Normal" xfId="0" builtinId="0"/>
    <cellStyle name="Percent" xfId="1" builtinId="5"/>
  </cellStyles>
  <dxfs count="30">
    <dxf>
      <font>
        <name val="Avenir Next LT Pro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venir Next LT Pro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venir Next LT Pro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bottom"/>
    </dxf>
    <dxf>
      <font>
        <name val="Avenir Next LT Pro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  <alignment horizontal="center" vertical="bottom"/>
    </dxf>
    <dxf>
      <font>
        <b val="1"/>
        <i val="1"/>
      </font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2" formatCode="0.00"/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2" formatCode="0.00"/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2" formatCode="0.00"/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2" formatCode="0.00"/>
      <fill>
        <patternFill>
          <fgColor indexed="64"/>
          <bgColor auto="1"/>
        </patternFill>
      </fill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m/d/yy;@"/>
      <fill>
        <patternFill>
          <fgColor indexed="64"/>
          <bgColor auto="1"/>
        </patternFill>
      </fill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m/d/yy;@"/>
      <fill>
        <patternFill>
          <fgColor indexed="64"/>
          <bgColor auto="1"/>
        </patternFill>
      </fill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m/d/yy;@"/>
      <fill>
        <patternFill>
          <fgColor indexed="64"/>
          <bgColor auto="1"/>
        </patternFill>
      </fill>
      <alignment horizontal="center" vertical="center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00000000"/>
      <fill>
        <patternFill>
          <fgColor indexed="64"/>
          <bgColor auto="1"/>
        </patternFill>
      </fill>
      <alignment horizontal="center" vertical="bottom"/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border outline="0">
        <top style="medium">
          <color theme="8" tint="-0.499984740745262"/>
        </top>
      </border>
    </dxf>
    <dxf>
      <font>
        <name val="Aptos Display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</dxf>
    <dxf>
      <border outline="0">
        <bottom style="medium">
          <color theme="8" tint="-0.499984740745262"/>
        </bottom>
      </border>
    </dxf>
    <dxf>
      <font>
        <name val="Aptos Display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 patternType="solid">
          <fgColor indexed="64"/>
          <bgColor theme="8" tint="-0.249977111117893"/>
        </patternFill>
      </fill>
      <alignment horizontal="center" vertical="center" textRotation="90" wrapText="1"/>
      <border outline="0">
        <left style="medium">
          <color theme="8" tint="-0.499984740745262"/>
        </left>
        <right style="medium">
          <color theme="8" tint="-0.499984740745262"/>
        </right>
        <top/>
        <bottom/>
      </border>
    </dxf>
    <dxf>
      <font>
        <b val="1"/>
        <i val="1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"/>
          <y val="0"/>
          <w val="0.992397802501408"/>
          <h val="0.6550437020615142"/>
        </manualLayout>
      </layout>
      <barChart>
        <barDir val="col"/>
        <grouping val="percentStacked"/>
        <varyColors val="0"/>
        <ser>
          <idx val="0"/>
          <order val="0"/>
          <spPr>
            <a:gradFill rotWithShape="1">
              <a:gsLst>
                <a:gs pos="0">
                  <a:srgbClr val="81E5E7"/>
                </a:gs>
                <a:gs pos="74000">
                  <a:srgbClr val="30D4D8"/>
                </a:gs>
                <a:gs pos="83000">
                  <a:srgbClr val="1B8E91"/>
                </a:gs>
                <a:gs pos="100000">
                  <a:srgbClr val="126062"/>
                </a:gs>
              </a:gsLst>
              <a:lin ang="5400000" scaled="1"/>
            </a:gradFill>
            <a:ln>
              <a:noFill/>
              <a:prstDash val="solid"/>
            </a:ln>
          </spPr>
          <invertIfNegative val="0"/>
          <dLbls>
            <dLbl>
              <idx val="0"/>
            </dLbl>
            <dLbl>
              <idx val="1"/>
            </dLbl>
            <dLbl>
              <idx val="2"/>
            </dLbl>
            <dLbl>
              <idx val="3"/>
            </dLbl>
            <dLbl>
              <idx val="4"/>
            </dLbl>
            <dLbl>
              <idx val="5"/>
            </dLbl>
            <dLbl>
              <idx val="6"/>
            </dLbl>
            <dLbl>
              <idx val="7"/>
            </dLbl>
            <dLbl>
              <idx val="8"/>
            </dLbl>
            <dLbl>
              <idx val="9"/>
            </dLbl>
            <dLbl>
              <idx val="10"/>
            </dLbl>
            <dLbl>
              <idx val="11"/>
            </dLbl>
            <dLbl>
              <idx val="12"/>
            </dLbl>
            <dLbl>
              <idx val="13"/>
            </dLbl>
            <dLbl>
              <idx val="14"/>
            </dLbl>
            <dLbl>
              <idx val="15"/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16"/>
            </dLbl>
            <dLbl>
              <idx val="17"/>
            </dLbl>
            <dLbl>
              <idx val="18"/>
            </dLbl>
            <dLbl>
              <idx val="19"/>
            </dLbl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(thematrix!$F$2:$F$22,thematrix!$P$1:$P$22)</f>
              <strCache>
                <ptCount val="23"/>
                <pt idx="0">
                  <v>19-09-24</v>
                </pt>
                <pt idx="21">
                  <v>Attrition</v>
                </pt>
                <pt idx="22">
                  <v>0.000</v>
                </pt>
              </strCache>
            </strRef>
          </cat>
          <val>
            <numRef>
              <f>thematrix!$P$3:$P$22</f>
              <numCache>
                <formatCode>0.000</formatCode>
                <ptCount val="20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45"/>
        <overlap val="100"/>
        <axId val="631281040"/>
        <axId val="631281520"/>
      </barChart>
      <catAx>
        <axId val="6312810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/>
          <a:ln w="12700" cap="flat" cmpd="sng" algn="ctr">
            <a:solidFill>
              <a:schemeClr val="accent5">
                <a:lumMod val="50000"/>
              </a:schemeClr>
            </a:solidFill>
            <a:prstDash val="solid"/>
            <a:round/>
          </a:ln>
        </spPr>
        <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31281520"/>
        <crosses val="autoZero"/>
        <auto val="0"/>
        <lblAlgn val="ctr"/>
        <lblOffset val="100"/>
        <noMultiLvlLbl val="0"/>
      </catAx>
      <valAx>
        <axId val="631281520"/>
        <scaling>
          <orientation val="minMax"/>
        </scaling>
        <delete val="1"/>
        <axPos val="l"/>
        <majorGridlines>
          <spPr>
            <a:ln w="9525" cap="flat" cmpd="sng" algn="ctr">
              <a:solidFill>
                <a:schemeClr val="accent5">
                  <a:lumMod val="7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crossAx val="631281040"/>
        <crossesAt val="1"/>
        <crossBetween val="between"/>
      </valAx>
    </plotArea>
    <plotVisOnly val="1"/>
    <dispBlanksAs val="gap"/>
  </chart>
  <spPr>
    <a:noFill/>
    <a:ln w="9525" cap="flat" cmpd="sng" algn="ctr">
      <a:noFill/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plotArea>
      <layout/>
      <doughnutChart>
        <varyColors val="1"/>
        <ser>
          <idx val="0"/>
          <order val="0"/>
          <tx>
            <strRef>
              <f>thematrix!$V$44:$W$44</f>
              <strCache>
                <ptCount val="2"/>
                <pt idx="0">
                  <v>Credit Hours Earned</v>
                </pt>
                <pt idx="1">
                  <v>Credit Hours Availiable</v>
                </pt>
              </strCache>
            </strRef>
          </tx>
          <spPr>
            <a:solidFill>
              <a:srgbClr val="1B8E91"/>
            </a:solidFill>
            <a:ln>
              <a:prstDash val="solid"/>
            </a:ln>
          </spPr>
          <explosion val="5"/>
          <dPt>
            <idx val="0"/>
            <bubble3D val="0"/>
            <spPr>
              <a:solidFill>
                <a:srgbClr val="1B8E9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solidFill>
                <a:srgbClr val="1B8E9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Lbls>
            <dLbl>
              <idx val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Avenir Next LT Pro" panose="020B0504020202020204" pitchFamily="34" charset="0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dLbl>
              <idx val="1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strike="noStrike" kern="1200" baseline="0">
                      <a:solidFill>
                        <a:schemeClr val="accent5">
                          <a:lumMod val="50000"/>
                        </a:schemeClr>
                      </a:solidFill>
                      <a:latin typeface="Avenir Next LT Pro" panose="020B0504020202020204" pitchFamily="34" charset="0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  <showLegendKey val="0"/>
              <showVal val="1"/>
              <showCatName val="0"/>
              <showSerName val="0"/>
              <showPercent val="0"/>
              <showBubbleSize val="0"/>
            </dLbl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val>
            <numRef>
              <f>thematrix!$V$45:$W$45</f>
              <numCache>
                <formatCode>General</formatCode>
                <ptCount val="2"/>
                <pt idx="0">
                  <v>3</v>
                </pt>
                <pt idx="1">
                  <v>3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20"/>
        <holeSize val="65"/>
      </doughnutChart>
    </plotArea>
    <plotVisOnly val="1"/>
    <dispBlanksAs val="gap"/>
  </chart>
  <spPr>
    <a:noFill/>
    <a:ln w="9525" cap="flat" cmpd="sng" algn="ctr">
      <a:noFill/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112835</colOff>
      <row>5</row>
      <rowOff>110635</rowOff>
    </from>
    <to>
      <col>12</col>
      <colOff>73271</colOff>
      <row>23</row>
      <rowOff>146536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3</col>
      <colOff>549274</colOff>
      <row>24</row>
      <rowOff>47625</rowOff>
    </from>
    <to>
      <col>13</col>
      <colOff>495300</colOff>
      <row>41</row>
      <rowOff>85725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rain_Log" displayName="Train_Log" ref="B1:T601" headerRowCount="1" totalsRowShown="0" headerRowDxfId="28" dataDxfId="26" headerRowBorderDxfId="27" tableBorderDxfId="25">
  <autoFilter ref="B1:T450"/>
  <sortState ref="B2:T450">
    <sortCondition ref="B1:B450"/>
  </sortState>
  <tableColumns count="19">
    <tableColumn id="1" name="NAME" dataDxfId="24"/>
    <tableColumn id="2" name="ABSENT" dataDxfId="23"/>
    <tableColumn id="3" name="EIN" dataDxfId="22"/>
    <tableColumn id="4" name="COURSE NAME:" dataDxfId="21"/>
    <tableColumn id="5" name="COURSE START DATE:" dataDxfId="20"/>
    <tableColumn id="6" name="TODAY'S DATE" dataDxfId="19"/>
    <tableColumn id="7" name="COURSE END DATE" dataDxfId="18"/>
    <tableColumn id="8" name="CREDIT HOURS/DAY" dataDxfId="17"/>
    <tableColumn id="9" name="CREDIT HOURS EARNED" dataDxfId="16"/>
    <tableColumn id="10" name="INSTRUCTOR 1" dataDxfId="15"/>
    <tableColumn id="11" name="INSTRUCTOR 2" dataDxfId="14"/>
    <tableColumn id="12" name="INSTRUCTOR 3" dataDxfId="13"/>
    <tableColumn id="13" name="INSTRUCTOR 4" dataDxfId="12"/>
    <tableColumn id="14" name="LOGGED BY" dataDxfId="11"/>
    <tableColumn id="15" name="LOGGED DATE" dataDxfId="10"/>
    <tableColumn id="16" name="Attrition" dataDxfId="9">
      <calculatedColumnFormula>IF(C2="Yes", 1, IF(C2="no", 0, IF(C2= "tardy", SUM(J2/I2),"")))</calculatedColumnFormula>
    </tableColumn>
    <tableColumn id="17" name="Department" dataDxfId="8">
      <calculatedColumnFormula>LEFT(Train_Log[[#This Row],[COURSE NAME:]],FIND(" - ", Train_Log[[#This Row],[COURSE NAME:]]) -1)</calculatedColumnFormula>
    </tableColumn>
    <tableColumn id="19" name="Course Topic" dataDxfId="7">
      <calculatedColumnFormula>MID(Train_Log[[#This Row],[COURSE NAME:]],FIND(" - ", Train_Log[[#This Row],[COURSE NAME:]]), 13)</calculatedColumnFormula>
    </tableColumn>
    <tableColumn id="18" name="Code" dataDxfId="6">
      <calculatedColumnFormula>MID(E2, FIND(" - ", E2) + 3, LEN(E2)) &amp; "_" &amp; TEXT(F2, "yyyymmdd") &amp; "_" &amp; TEXT(H2, "yyyymmdd")</calculatedColumnFormula>
    </tableColumn>
  </tableColumns>
  <tableStyleInfo name="TableStyleLight6" showFirstColumn="0" showLastColumn="0" showRowStripes="0" showColumnStripes="1"/>
</table>
</file>

<file path=xl/tables/table2.xml><?xml version="1.0" encoding="utf-8"?>
<table xmlns="http://schemas.openxmlformats.org/spreadsheetml/2006/main" id="2" name="Table3" displayName="Table3" ref="V1:W36" headerRowCount="1" totalsRowShown="0" headerRowDxfId="4" dataDxfId="3" tableBorderDxfId="2">
  <autoFilter ref="V1:W36"/>
  <tableColumns count="2">
    <tableColumn id="1" name="ACTIVE PTSP" dataDxfId="1"/>
    <tableColumn id="2" name="Lead Instructor Credit" dataDxfId="0">
      <calculatedColumnFormula>COUNTIFS(Train_Log[INSTRUCTOR 1], V2,Train_Log[Code], "&lt;&gt;" &amp;"")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A1:DK199"/>
  <sheetViews>
    <sheetView tabSelected="1" topLeftCell="A15" workbookViewId="0">
      <selection activeCell="C14" sqref="C14"/>
    </sheetView>
  </sheetViews>
  <sheetFormatPr baseColWidth="8" defaultRowHeight="15"/>
  <cols>
    <col width="23.28515625" bestFit="1" customWidth="1" min="1" max="1"/>
    <col width="8.7109375" bestFit="1" customWidth="1" min="2" max="2"/>
    <col width="17.7109375" bestFit="1" customWidth="1" min="3" max="4"/>
    <col width="11.140625" customWidth="1" min="5" max="5"/>
    <col width="24" bestFit="1" customWidth="1" min="6" max="112"/>
    <col width="15.140625" bestFit="1" customWidth="1" min="113" max="113"/>
    <col width="32.140625" bestFit="1" customWidth="1" min="114" max="114"/>
    <col width="29.7109375" bestFit="1" customWidth="1" min="115" max="115"/>
  </cols>
  <sheetData>
    <row r="1" ht="45.75" customFormat="1" customHeight="1" s="22" thickBot="1">
      <c r="A1" s="26" t="inlineStr">
        <is>
          <t>Total Absences</t>
        </is>
      </c>
      <c r="B1" s="26" t="inlineStr">
        <is>
          <t>Total Attended</t>
        </is>
      </c>
      <c r="C1" s="26" t="inlineStr">
        <is>
          <t>Total Entries</t>
        </is>
      </c>
      <c r="D1" s="26" t="inlineStr">
        <is>
          <t>Distinct number of course titles</t>
        </is>
      </c>
    </row>
    <row r="2" ht="15.75" customFormat="1" customHeight="1" s="22" thickBot="1">
      <c r="A2" s="24">
        <f>COUNTIF(Train_Log[ABSENT],"yes")</f>
        <v/>
      </c>
      <c r="B2" s="24">
        <f>COUNTIF(Train_Log[ABSENT],"no")</f>
        <v/>
      </c>
      <c r="C2" s="24">
        <f>COUNTIF(Train_Log[NAME],"&lt;&gt;")</f>
        <v/>
      </c>
      <c r="D2" s="25">
        <f t="array" ref="D2">COUNTA(_xlfn.UNIQUE(_xlfn._xlws.FILTER(Train_Log[COURSE NAME:],Train_Log[NAME] =Dashboard!B3)))</f>
        <v/>
      </c>
    </row>
    <row r="4" customFormat="1" s="23"/>
    <row r="5" ht="30" customFormat="1" customHeight="1" s="22">
      <c r="A5" s="29" t="inlineStr">
        <is>
          <t>Employee</t>
        </is>
      </c>
      <c r="B5" s="29" t="inlineStr">
        <is>
          <t>COURSE #</t>
        </is>
      </c>
      <c r="C5" s="29" t="inlineStr">
        <is>
          <t>Total Credit Hours Availaible</t>
        </is>
      </c>
      <c r="D5" s="29" t="inlineStr">
        <is>
          <t>Total Credit Hours Earned</t>
        </is>
      </c>
      <c r="E5" s="29" t="inlineStr">
        <is>
          <t>Difference</t>
        </is>
      </c>
    </row>
    <row r="6">
      <c r="A6" t="inlineStr">
        <is>
          <t>EE1</t>
        </is>
      </c>
      <c r="B6" t="n">
        <v>2</v>
      </c>
      <c r="C6" t="n">
        <v>4</v>
      </c>
      <c r="D6" t="n">
        <v>4</v>
      </c>
      <c r="E6" s="28">
        <f>D6-C6</f>
        <v/>
      </c>
    </row>
    <row r="7">
      <c r="A7" t="inlineStr">
        <is>
          <t>EE2</t>
        </is>
      </c>
      <c r="B7" t="n">
        <v>4</v>
      </c>
      <c r="C7" t="n">
        <v>26</v>
      </c>
      <c r="D7" t="n">
        <v>26</v>
      </c>
      <c r="E7" s="28">
        <f>D7-C7</f>
        <v/>
      </c>
    </row>
    <row r="8">
      <c r="A8" t="inlineStr">
        <is>
          <t>EE3</t>
        </is>
      </c>
      <c r="B8" t="n">
        <v>1</v>
      </c>
      <c r="C8" t="n">
        <v>4</v>
      </c>
      <c r="D8" t="n">
        <v>4</v>
      </c>
      <c r="E8" s="28">
        <f>D8-C8</f>
        <v/>
      </c>
    </row>
    <row r="9">
      <c r="A9" t="inlineStr">
        <is>
          <t>EE4</t>
        </is>
      </c>
      <c r="B9" t="n">
        <v>3</v>
      </c>
      <c r="C9" t="n">
        <v>14</v>
      </c>
      <c r="D9" t="n">
        <v>14</v>
      </c>
      <c r="E9" s="28">
        <f>D9-C9</f>
        <v/>
      </c>
    </row>
    <row r="10">
      <c r="A10" t="inlineStr">
        <is>
          <t>EE5</t>
        </is>
      </c>
      <c r="B10" t="n">
        <v>3</v>
      </c>
      <c r="C10" t="n">
        <v>22</v>
      </c>
      <c r="D10" t="n">
        <v>22</v>
      </c>
      <c r="E10" s="28">
        <f>D10-C10</f>
        <v/>
      </c>
    </row>
    <row r="11">
      <c r="A11" t="inlineStr">
        <is>
          <t>EE6</t>
        </is>
      </c>
      <c r="B11" t="n">
        <v>3</v>
      </c>
      <c r="C11" t="n">
        <v>9</v>
      </c>
      <c r="D11" t="n">
        <v>9</v>
      </c>
      <c r="E11" s="28">
        <f>D11-C11</f>
        <v/>
      </c>
    </row>
    <row r="12">
      <c r="A12" t="inlineStr">
        <is>
          <t>EE8</t>
        </is>
      </c>
      <c r="B12" t="n">
        <v>4</v>
      </c>
      <c r="C12" t="n">
        <v>21</v>
      </c>
      <c r="D12" t="n">
        <v>21</v>
      </c>
      <c r="E12" s="28">
        <f>D12-C12</f>
        <v/>
      </c>
    </row>
    <row r="13">
      <c r="A13" t="inlineStr">
        <is>
          <t>EE9</t>
        </is>
      </c>
      <c r="B13" t="n">
        <v>3</v>
      </c>
      <c r="C13" t="n">
        <v>13</v>
      </c>
      <c r="D13" t="n">
        <v>12.52</v>
      </c>
      <c r="E13" s="28">
        <f>D13-C13</f>
        <v/>
      </c>
    </row>
    <row r="14">
      <c r="A14" t="inlineStr">
        <is>
          <t>EE10</t>
        </is>
      </c>
      <c r="B14" t="n">
        <v>4</v>
      </c>
      <c r="C14" t="n">
        <v>16</v>
      </c>
      <c r="D14" t="n">
        <v>16</v>
      </c>
      <c r="E14" s="28">
        <f>D14-C14</f>
        <v/>
      </c>
    </row>
    <row r="15">
      <c r="A15" t="inlineStr">
        <is>
          <t>EE11</t>
        </is>
      </c>
      <c r="B15" t="n">
        <v>3</v>
      </c>
      <c r="C15" t="n">
        <v>20</v>
      </c>
      <c r="D15" t="n">
        <v>20</v>
      </c>
      <c r="E15" s="28">
        <f>D15-C15</f>
        <v/>
      </c>
    </row>
    <row r="16">
      <c r="A16" t="inlineStr">
        <is>
          <t>EE12</t>
        </is>
      </c>
      <c r="B16" t="n">
        <v>2</v>
      </c>
      <c r="C16" t="n">
        <v>13</v>
      </c>
      <c r="D16" t="n">
        <v>13</v>
      </c>
      <c r="E16" s="28">
        <f>D16-C16</f>
        <v/>
      </c>
    </row>
    <row r="17">
      <c r="A17" t="inlineStr">
        <is>
          <t>EE13</t>
        </is>
      </c>
      <c r="B17" t="n">
        <v>2</v>
      </c>
      <c r="C17" t="n">
        <v>7</v>
      </c>
      <c r="D17" t="n">
        <v>7</v>
      </c>
      <c r="E17" s="28">
        <f>D17-C17</f>
        <v/>
      </c>
    </row>
    <row r="18">
      <c r="A18" t="inlineStr">
        <is>
          <t>EE14</t>
        </is>
      </c>
      <c r="B18" t="n">
        <v>2</v>
      </c>
      <c r="C18" t="n">
        <v>5</v>
      </c>
      <c r="D18" t="n">
        <v>5</v>
      </c>
      <c r="E18" s="28">
        <f>D18-C18</f>
        <v/>
      </c>
    </row>
    <row r="19">
      <c r="A19" t="inlineStr">
        <is>
          <t>EE15</t>
        </is>
      </c>
      <c r="B19" t="n">
        <v>1</v>
      </c>
      <c r="C19" t="n">
        <v>8</v>
      </c>
      <c r="D19" t="n">
        <v>8</v>
      </c>
      <c r="E19" s="28">
        <f>D19-C19</f>
        <v/>
      </c>
    </row>
    <row r="20">
      <c r="A20" t="inlineStr">
        <is>
          <t>EE16</t>
        </is>
      </c>
      <c r="B20" t="n">
        <v>1</v>
      </c>
      <c r="C20" t="n">
        <v>2</v>
      </c>
      <c r="D20" t="n">
        <v>1.72</v>
      </c>
      <c r="E20" s="28">
        <f>D20-C20</f>
        <v/>
      </c>
    </row>
    <row r="21">
      <c r="A21" t="inlineStr">
        <is>
          <t>EE17</t>
        </is>
      </c>
      <c r="B21" t="n">
        <v>3</v>
      </c>
      <c r="C21" t="n">
        <v>14</v>
      </c>
      <c r="D21" t="n">
        <v>14</v>
      </c>
      <c r="E21" s="28">
        <f>D21-C21</f>
        <v/>
      </c>
    </row>
    <row r="22">
      <c r="A22" t="inlineStr">
        <is>
          <t>EE18</t>
        </is>
      </c>
      <c r="B22" t="n">
        <v>2</v>
      </c>
      <c r="C22" t="n">
        <v>10</v>
      </c>
      <c r="D22" t="n">
        <v>9.76</v>
      </c>
      <c r="E22" s="28">
        <f>D22-C22</f>
        <v/>
      </c>
    </row>
    <row r="23">
      <c r="A23" t="inlineStr">
        <is>
          <t>EE19</t>
        </is>
      </c>
      <c r="B23" t="n">
        <v>1</v>
      </c>
      <c r="C23" t="n">
        <v>3</v>
      </c>
      <c r="D23" t="n">
        <v>3</v>
      </c>
      <c r="E23" s="28">
        <f>D23-C23</f>
        <v/>
      </c>
    </row>
    <row r="24">
      <c r="A24" t="inlineStr">
        <is>
          <t>EE20</t>
        </is>
      </c>
      <c r="B24" t="n">
        <v>2</v>
      </c>
      <c r="C24" t="n">
        <v>16</v>
      </c>
      <c r="D24" t="n">
        <v>16</v>
      </c>
      <c r="E24" s="28">
        <f>D24-C24</f>
        <v/>
      </c>
    </row>
    <row r="25">
      <c r="A25" t="inlineStr">
        <is>
          <t>EE21</t>
        </is>
      </c>
      <c r="B25" t="n">
        <v>1</v>
      </c>
      <c r="C25" t="n">
        <v>8</v>
      </c>
      <c r="D25" t="n">
        <v>8</v>
      </c>
      <c r="E25" s="28">
        <f>D25-C25</f>
        <v/>
      </c>
    </row>
    <row r="26">
      <c r="A26" t="inlineStr">
        <is>
          <t>EE22</t>
        </is>
      </c>
      <c r="B26" t="n">
        <v>3</v>
      </c>
      <c r="C26" t="n">
        <v>8</v>
      </c>
      <c r="D26" t="n">
        <v>7.43</v>
      </c>
      <c r="E26" s="28">
        <f>D26-C26</f>
        <v/>
      </c>
    </row>
    <row r="27">
      <c r="A27" t="inlineStr">
        <is>
          <t>EE23</t>
        </is>
      </c>
      <c r="B27" t="n">
        <v>4</v>
      </c>
      <c r="C27" t="n">
        <v>25</v>
      </c>
      <c r="D27" t="n">
        <v>25</v>
      </c>
      <c r="E27" s="28">
        <f>D27-C27</f>
        <v/>
      </c>
    </row>
    <row r="28">
      <c r="A28" t="inlineStr">
        <is>
          <t>EE24</t>
        </is>
      </c>
      <c r="B28" t="n">
        <v>3</v>
      </c>
      <c r="C28" t="n">
        <v>9</v>
      </c>
      <c r="D28" t="n">
        <v>9</v>
      </c>
      <c r="E28" s="28">
        <f>D28-C28</f>
        <v/>
      </c>
    </row>
    <row r="29">
      <c r="A29" t="inlineStr">
        <is>
          <t>EE25</t>
        </is>
      </c>
      <c r="B29" t="n">
        <v>1</v>
      </c>
      <c r="C29" t="n">
        <v>4</v>
      </c>
      <c r="D29" t="n">
        <v>4</v>
      </c>
      <c r="E29" s="28">
        <f>D29-C29</f>
        <v/>
      </c>
    </row>
    <row r="30">
      <c r="A30" t="inlineStr">
        <is>
          <t>EE26</t>
        </is>
      </c>
      <c r="B30" t="n">
        <v>3</v>
      </c>
      <c r="C30" t="n">
        <v>16</v>
      </c>
      <c r="D30" t="n">
        <v>16</v>
      </c>
      <c r="E30" s="28">
        <f>D30-C30</f>
        <v/>
      </c>
    </row>
    <row r="31">
      <c r="A31" t="inlineStr">
        <is>
          <t>EE27</t>
        </is>
      </c>
      <c r="B31" t="n">
        <v>2</v>
      </c>
      <c r="C31" t="n">
        <v>4</v>
      </c>
      <c r="D31" t="n">
        <v>3.1</v>
      </c>
      <c r="E31" s="28">
        <f>D31-C31</f>
        <v/>
      </c>
    </row>
    <row r="32">
      <c r="A32" t="inlineStr">
        <is>
          <t>EE28</t>
        </is>
      </c>
      <c r="B32" t="n">
        <v>3</v>
      </c>
      <c r="C32" t="n">
        <v>16</v>
      </c>
      <c r="D32" t="n">
        <v>16</v>
      </c>
      <c r="E32" s="28">
        <f>D32-C32</f>
        <v/>
      </c>
    </row>
    <row r="33">
      <c r="A33" t="inlineStr">
        <is>
          <t>EE29</t>
        </is>
      </c>
      <c r="B33" t="n">
        <v>3</v>
      </c>
      <c r="C33" t="n">
        <v>6</v>
      </c>
      <c r="D33" t="n">
        <v>6</v>
      </c>
      <c r="E33" s="28">
        <f>D33-C33</f>
        <v/>
      </c>
    </row>
    <row r="34">
      <c r="A34" t="inlineStr">
        <is>
          <t>EE30</t>
        </is>
      </c>
      <c r="B34" t="n">
        <v>4</v>
      </c>
      <c r="C34" t="n">
        <v>21</v>
      </c>
      <c r="D34" t="n">
        <v>21</v>
      </c>
      <c r="E34" s="28">
        <f>D34-C34</f>
        <v/>
      </c>
    </row>
    <row r="35">
      <c r="A35" t="inlineStr">
        <is>
          <t>EE31</t>
        </is>
      </c>
      <c r="B35" t="n">
        <v>1</v>
      </c>
      <c r="C35" t="n">
        <v>3</v>
      </c>
      <c r="D35" t="n">
        <v>3</v>
      </c>
      <c r="E35" s="28">
        <f>D35-C35</f>
        <v/>
      </c>
    </row>
    <row r="36">
      <c r="A36" t="inlineStr">
        <is>
          <t>EE32</t>
        </is>
      </c>
      <c r="B36" t="n">
        <v>2</v>
      </c>
      <c r="C36" t="n">
        <v>11</v>
      </c>
      <c r="D36" t="n">
        <v>11</v>
      </c>
      <c r="E36" s="28">
        <f>D36-C36</f>
        <v/>
      </c>
    </row>
    <row r="37">
      <c r="A37" t="inlineStr">
        <is>
          <t>EE33</t>
        </is>
      </c>
      <c r="B37" t="n">
        <v>3</v>
      </c>
      <c r="C37" t="n">
        <v>14</v>
      </c>
      <c r="D37" t="n">
        <v>14</v>
      </c>
      <c r="E37" s="28">
        <f>D37-C37</f>
        <v/>
      </c>
    </row>
    <row r="38">
      <c r="A38" t="inlineStr">
        <is>
          <t>EE34</t>
        </is>
      </c>
      <c r="B38" t="n">
        <v>2</v>
      </c>
      <c r="C38" t="n">
        <v>8</v>
      </c>
      <c r="D38" t="n">
        <v>8</v>
      </c>
      <c r="E38" s="28">
        <f>D38-C38</f>
        <v/>
      </c>
    </row>
    <row r="39">
      <c r="A39" t="inlineStr">
        <is>
          <t>EE35</t>
        </is>
      </c>
      <c r="B39" t="n">
        <v>4</v>
      </c>
      <c r="C39" t="n">
        <v>16</v>
      </c>
      <c r="D39" t="n">
        <v>16</v>
      </c>
      <c r="E39" s="28">
        <f>D39-C39</f>
        <v/>
      </c>
    </row>
    <row r="40">
      <c r="A40" t="inlineStr">
        <is>
          <t>EE36</t>
        </is>
      </c>
      <c r="B40" t="n">
        <v>6</v>
      </c>
      <c r="C40" t="n">
        <v>40</v>
      </c>
      <c r="D40" t="n">
        <v>36</v>
      </c>
      <c r="E40" s="28">
        <f>D40-C40</f>
        <v/>
      </c>
    </row>
    <row r="41">
      <c r="A41" s="27" t="inlineStr">
        <is>
          <t>EE37</t>
        </is>
      </c>
      <c r="B41" s="27" t="n">
        <v>2</v>
      </c>
      <c r="C41" s="27" t="n">
        <v>10</v>
      </c>
      <c r="D41" s="27" t="n">
        <v>10</v>
      </c>
      <c r="E41">
        <f>D41-C41</f>
        <v/>
      </c>
    </row>
    <row r="42">
      <c r="A42" t="inlineStr">
        <is>
          <t>EE38</t>
        </is>
      </c>
      <c r="B42" t="n">
        <v>4</v>
      </c>
      <c r="C42" t="n">
        <v>12</v>
      </c>
      <c r="D42" t="n">
        <v>12</v>
      </c>
      <c r="E42">
        <f>D42-C42</f>
        <v/>
      </c>
    </row>
    <row r="43">
      <c r="A43" t="inlineStr">
        <is>
          <t>EE39</t>
        </is>
      </c>
      <c r="B43" t="n">
        <v>4</v>
      </c>
      <c r="C43" t="n">
        <v>23</v>
      </c>
      <c r="D43" t="n">
        <v>23</v>
      </c>
      <c r="E43">
        <f>D43-C43</f>
        <v/>
      </c>
    </row>
    <row r="44">
      <c r="A44" t="inlineStr">
        <is>
          <t>EE40</t>
        </is>
      </c>
      <c r="B44" t="n">
        <v>3</v>
      </c>
      <c r="C44" t="n">
        <v>6</v>
      </c>
      <c r="D44" t="n">
        <v>6</v>
      </c>
      <c r="E44">
        <f>D44-C44</f>
        <v/>
      </c>
    </row>
    <row r="45">
      <c r="A45" t="inlineStr">
        <is>
          <t>EE41</t>
        </is>
      </c>
      <c r="B45" t="n">
        <v>2</v>
      </c>
      <c r="C45" t="n">
        <v>13</v>
      </c>
      <c r="D45" t="n">
        <v>13</v>
      </c>
      <c r="E45">
        <f>D45-C45</f>
        <v/>
      </c>
    </row>
    <row r="46">
      <c r="A46" t="inlineStr">
        <is>
          <t>EE42</t>
        </is>
      </c>
      <c r="B46" t="n">
        <v>3</v>
      </c>
      <c r="C46" t="n">
        <v>9</v>
      </c>
      <c r="D46" t="n">
        <v>8.4</v>
      </c>
      <c r="E46">
        <f>D46-C46</f>
        <v/>
      </c>
    </row>
    <row r="47">
      <c r="A47" t="inlineStr">
        <is>
          <t>EE43</t>
        </is>
      </c>
      <c r="B47" t="n">
        <v>2</v>
      </c>
      <c r="C47" t="n">
        <v>12</v>
      </c>
      <c r="D47" t="n">
        <v>12</v>
      </c>
      <c r="E47">
        <f>D47-C47</f>
        <v/>
      </c>
    </row>
    <row r="48">
      <c r="A48" t="inlineStr">
        <is>
          <t>EE44</t>
        </is>
      </c>
      <c r="B48" t="n">
        <v>1</v>
      </c>
      <c r="C48" t="n">
        <v>2</v>
      </c>
      <c r="D48" t="n">
        <v>2</v>
      </c>
      <c r="E48">
        <f>D48-C48</f>
        <v/>
      </c>
    </row>
    <row r="49">
      <c r="A49" t="inlineStr">
        <is>
          <t>EE45</t>
        </is>
      </c>
      <c r="B49" t="n">
        <v>3</v>
      </c>
      <c r="C49" t="n">
        <v>30</v>
      </c>
      <c r="D49" t="n">
        <v>26.7</v>
      </c>
      <c r="E49">
        <f>D49-C49</f>
        <v/>
      </c>
    </row>
    <row r="50">
      <c r="A50" t="inlineStr">
        <is>
          <t>EE46</t>
        </is>
      </c>
      <c r="B50" t="n">
        <v>2</v>
      </c>
      <c r="C50" t="n">
        <v>19</v>
      </c>
      <c r="D50" t="n">
        <v>19</v>
      </c>
      <c r="E50">
        <f>D50-C50</f>
        <v/>
      </c>
    </row>
    <row r="51">
      <c r="A51" t="inlineStr">
        <is>
          <t>EE47</t>
        </is>
      </c>
      <c r="B51" t="n">
        <v>2</v>
      </c>
      <c r="C51" t="n">
        <v>5</v>
      </c>
      <c r="D51" t="n">
        <v>5</v>
      </c>
      <c r="E51">
        <f>D51-C51</f>
        <v/>
      </c>
    </row>
    <row r="52">
      <c r="A52" t="inlineStr">
        <is>
          <t>EE49</t>
        </is>
      </c>
      <c r="B52" t="n">
        <v>1</v>
      </c>
      <c r="C52" t="n">
        <v>8</v>
      </c>
      <c r="D52" t="n">
        <v>8</v>
      </c>
      <c r="E52">
        <f>D52-C52</f>
        <v/>
      </c>
    </row>
    <row r="53">
      <c r="A53" t="inlineStr">
        <is>
          <t>EE50</t>
        </is>
      </c>
      <c r="B53" t="n">
        <v>2</v>
      </c>
      <c r="C53" t="n">
        <v>4</v>
      </c>
      <c r="D53" t="n">
        <v>4</v>
      </c>
      <c r="E53">
        <f>D53-C53</f>
        <v/>
      </c>
    </row>
    <row r="54">
      <c r="A54" t="inlineStr">
        <is>
          <t>EE51</t>
        </is>
      </c>
      <c r="B54" t="n">
        <v>1</v>
      </c>
      <c r="C54" t="n">
        <v>2</v>
      </c>
      <c r="D54" t="n">
        <v>0</v>
      </c>
      <c r="E54">
        <f>D54-C54</f>
        <v/>
      </c>
    </row>
    <row r="55">
      <c r="A55" t="inlineStr">
        <is>
          <t>EE52</t>
        </is>
      </c>
      <c r="B55" t="n">
        <v>2</v>
      </c>
      <c r="C55" t="n">
        <v>8</v>
      </c>
      <c r="D55" t="n">
        <v>8</v>
      </c>
      <c r="E55">
        <f>D55-C55</f>
        <v/>
      </c>
    </row>
    <row r="56">
      <c r="A56" t="inlineStr">
        <is>
          <t>EE53</t>
        </is>
      </c>
      <c r="B56" t="n">
        <v>3</v>
      </c>
      <c r="C56" t="n">
        <v>7</v>
      </c>
      <c r="D56" t="n">
        <v>7</v>
      </c>
      <c r="E56">
        <f>D56-C56</f>
        <v/>
      </c>
    </row>
    <row r="57">
      <c r="A57" t="inlineStr">
        <is>
          <t>EE54</t>
        </is>
      </c>
      <c r="B57" t="n">
        <v>3</v>
      </c>
      <c r="C57" t="n">
        <v>12</v>
      </c>
      <c r="D57" t="n">
        <v>12</v>
      </c>
      <c r="E57">
        <f>D57-C57</f>
        <v/>
      </c>
    </row>
    <row r="58">
      <c r="A58" t="inlineStr">
        <is>
          <t>EE55</t>
        </is>
      </c>
      <c r="B58" t="n">
        <v>3</v>
      </c>
      <c r="C58" t="n">
        <v>14</v>
      </c>
      <c r="D58" t="n">
        <v>14</v>
      </c>
      <c r="E58">
        <f>D58-C58</f>
        <v/>
      </c>
    </row>
    <row r="59">
      <c r="A59" t="inlineStr">
        <is>
          <t>EE56</t>
        </is>
      </c>
      <c r="B59" t="n">
        <v>2</v>
      </c>
      <c r="C59" t="n">
        <v>24</v>
      </c>
      <c r="D59" t="n">
        <v>24</v>
      </c>
      <c r="E59">
        <f>D59-C59</f>
        <v/>
      </c>
    </row>
    <row r="60">
      <c r="A60" t="inlineStr">
        <is>
          <t>EE57</t>
        </is>
      </c>
      <c r="B60" t="n">
        <v>3</v>
      </c>
      <c r="C60" t="n">
        <v>38</v>
      </c>
      <c r="D60" t="n">
        <v>38</v>
      </c>
      <c r="E60">
        <f>D60-C60</f>
        <v/>
      </c>
    </row>
    <row r="61">
      <c r="A61" t="inlineStr">
        <is>
          <t>EE58</t>
        </is>
      </c>
      <c r="B61" t="n">
        <v>4</v>
      </c>
      <c r="C61" t="n">
        <v>15</v>
      </c>
      <c r="D61" t="n">
        <v>15</v>
      </c>
      <c r="E61">
        <f>D61-C61</f>
        <v/>
      </c>
    </row>
    <row r="62">
      <c r="A62" t="inlineStr">
        <is>
          <t>EE59</t>
        </is>
      </c>
      <c r="B62" t="n">
        <v>2</v>
      </c>
      <c r="C62" t="n">
        <v>12</v>
      </c>
      <c r="D62" t="n">
        <v>11.55</v>
      </c>
      <c r="E62">
        <f>D62-C62</f>
        <v/>
      </c>
    </row>
    <row r="63">
      <c r="A63" t="inlineStr">
        <is>
          <t>EE60</t>
        </is>
      </c>
      <c r="B63" t="n">
        <v>4</v>
      </c>
      <c r="C63" t="n">
        <v>16</v>
      </c>
      <c r="D63" t="n">
        <v>16</v>
      </c>
      <c r="E63">
        <f>D63-C63</f>
        <v/>
      </c>
    </row>
    <row r="64">
      <c r="A64" t="inlineStr">
        <is>
          <t>EE61</t>
        </is>
      </c>
      <c r="B64" t="n">
        <v>5</v>
      </c>
      <c r="C64" t="n">
        <v>14</v>
      </c>
      <c r="D64" t="n">
        <v>14</v>
      </c>
      <c r="E64">
        <f>D64-C64</f>
        <v/>
      </c>
    </row>
    <row r="65">
      <c r="A65" t="inlineStr">
        <is>
          <t>EE62</t>
        </is>
      </c>
      <c r="B65" t="n">
        <v>2</v>
      </c>
      <c r="C65" t="n">
        <v>7</v>
      </c>
      <c r="D65" t="n">
        <v>3</v>
      </c>
      <c r="E65">
        <f>D65-C65</f>
        <v/>
      </c>
    </row>
    <row r="66">
      <c r="A66" t="inlineStr">
        <is>
          <t>EE63</t>
        </is>
      </c>
      <c r="B66" t="n">
        <v>4</v>
      </c>
      <c r="C66" t="n">
        <v>11</v>
      </c>
      <c r="D66" t="n">
        <v>11</v>
      </c>
      <c r="E66">
        <f>D66-C66</f>
        <v/>
      </c>
    </row>
    <row r="67">
      <c r="A67" t="inlineStr">
        <is>
          <t>EE64</t>
        </is>
      </c>
      <c r="B67" t="n">
        <v>3</v>
      </c>
      <c r="C67" t="n">
        <v>8</v>
      </c>
      <c r="D67" t="n">
        <v>8</v>
      </c>
      <c r="E67">
        <f>D67-C67</f>
        <v/>
      </c>
    </row>
    <row r="68">
      <c r="A68" t="inlineStr">
        <is>
          <t>EE65</t>
        </is>
      </c>
      <c r="B68" t="n">
        <v>3</v>
      </c>
      <c r="C68" t="n">
        <v>21</v>
      </c>
      <c r="D68" t="n">
        <v>21</v>
      </c>
      <c r="E68">
        <f>D68-C68</f>
        <v/>
      </c>
    </row>
    <row r="69">
      <c r="A69" t="inlineStr">
        <is>
          <t>EE66</t>
        </is>
      </c>
      <c r="B69" t="n">
        <v>3</v>
      </c>
      <c r="C69" t="n">
        <v>7</v>
      </c>
      <c r="D69" t="n">
        <v>7</v>
      </c>
      <c r="E69">
        <f>D69-C69</f>
        <v/>
      </c>
    </row>
    <row r="70">
      <c r="A70" t="inlineStr">
        <is>
          <t>EE67</t>
        </is>
      </c>
      <c r="B70" t="n">
        <v>2</v>
      </c>
      <c r="C70" t="n">
        <v>6</v>
      </c>
      <c r="D70" t="n">
        <v>6</v>
      </c>
      <c r="E70">
        <f>D70-C70</f>
        <v/>
      </c>
    </row>
    <row r="71">
      <c r="A71" t="inlineStr">
        <is>
          <t>EE68</t>
        </is>
      </c>
      <c r="B71" t="n">
        <v>2</v>
      </c>
      <c r="C71" t="n">
        <v>14</v>
      </c>
      <c r="D71" t="n">
        <v>13.44</v>
      </c>
      <c r="E71">
        <f>D71-C71</f>
        <v/>
      </c>
    </row>
    <row r="72">
      <c r="A72" t="inlineStr">
        <is>
          <t>EE69</t>
        </is>
      </c>
      <c r="B72" t="n">
        <v>1</v>
      </c>
      <c r="C72" t="n">
        <v>4</v>
      </c>
      <c r="D72" t="n">
        <v>4</v>
      </c>
      <c r="E72">
        <f>D72-C72</f>
        <v/>
      </c>
    </row>
    <row r="73">
      <c r="A73" t="inlineStr">
        <is>
          <t>EE70</t>
        </is>
      </c>
      <c r="B73" t="n">
        <v>2</v>
      </c>
      <c r="C73" t="n">
        <v>14</v>
      </c>
      <c r="D73" t="n">
        <v>14</v>
      </c>
      <c r="E73">
        <f>D73-C73</f>
        <v/>
      </c>
    </row>
    <row r="74">
      <c r="A74" t="inlineStr">
        <is>
          <t>EE71</t>
        </is>
      </c>
      <c r="B74" t="n">
        <v>1</v>
      </c>
      <c r="C74" t="n">
        <v>10</v>
      </c>
      <c r="D74" t="n">
        <v>10</v>
      </c>
      <c r="E74">
        <f>D74-C74</f>
        <v/>
      </c>
    </row>
    <row r="75">
      <c r="A75" t="inlineStr">
        <is>
          <t>EE72</t>
        </is>
      </c>
      <c r="B75" t="n">
        <v>2</v>
      </c>
      <c r="C75" t="n">
        <v>4</v>
      </c>
      <c r="D75" t="n">
        <v>4</v>
      </c>
      <c r="E75">
        <f>D75-C75</f>
        <v/>
      </c>
    </row>
    <row r="76">
      <c r="A76" t="inlineStr">
        <is>
          <t>EE73</t>
        </is>
      </c>
      <c r="B76" t="n">
        <v>1</v>
      </c>
      <c r="C76" t="n">
        <v>4</v>
      </c>
      <c r="D76" t="n">
        <v>4</v>
      </c>
      <c r="E76">
        <f>D76-C76</f>
        <v/>
      </c>
    </row>
    <row r="77">
      <c r="A77" t="inlineStr">
        <is>
          <t>EE74</t>
        </is>
      </c>
      <c r="B77" t="n">
        <v>4</v>
      </c>
      <c r="C77" t="n">
        <v>32</v>
      </c>
      <c r="D77" t="n">
        <v>32</v>
      </c>
      <c r="E77">
        <f>D77-C77</f>
        <v/>
      </c>
    </row>
    <row r="78">
      <c r="A78" t="inlineStr">
        <is>
          <t>EE75</t>
        </is>
      </c>
      <c r="B78" t="n">
        <v>3</v>
      </c>
      <c r="C78" t="n">
        <v>13</v>
      </c>
      <c r="D78" t="n">
        <v>13</v>
      </c>
      <c r="E78">
        <f>D78-C78</f>
        <v/>
      </c>
    </row>
    <row r="79">
      <c r="A79" t="inlineStr">
        <is>
          <t>EE76</t>
        </is>
      </c>
      <c r="B79" t="n">
        <v>3</v>
      </c>
      <c r="C79" t="n">
        <v>23</v>
      </c>
      <c r="D79" t="n">
        <v>23</v>
      </c>
      <c r="E79">
        <f>D79-C79</f>
        <v/>
      </c>
    </row>
    <row r="80">
      <c r="A80" t="inlineStr">
        <is>
          <t>EE77</t>
        </is>
      </c>
      <c r="B80" t="n">
        <v>2</v>
      </c>
      <c r="C80" t="n">
        <v>6</v>
      </c>
      <c r="D80" t="n">
        <v>6</v>
      </c>
      <c r="E80">
        <f>D80-C80</f>
        <v/>
      </c>
    </row>
    <row r="81">
      <c r="A81" t="inlineStr">
        <is>
          <t>EE78</t>
        </is>
      </c>
      <c r="B81" t="n">
        <v>3</v>
      </c>
      <c r="C81" t="n">
        <v>11</v>
      </c>
      <c r="D81" t="n">
        <v>11</v>
      </c>
      <c r="E81">
        <f>D81-C81</f>
        <v/>
      </c>
    </row>
    <row r="82">
      <c r="A82" t="inlineStr">
        <is>
          <t>EE79</t>
        </is>
      </c>
      <c r="B82" t="n">
        <v>3</v>
      </c>
      <c r="C82" t="n">
        <v>13</v>
      </c>
      <c r="D82" t="n">
        <v>13</v>
      </c>
      <c r="E82">
        <f>D82-C82</f>
        <v/>
      </c>
    </row>
    <row r="83">
      <c r="A83" t="inlineStr">
        <is>
          <t>EE80</t>
        </is>
      </c>
      <c r="B83" t="n">
        <v>2</v>
      </c>
      <c r="C83" t="n">
        <v>11</v>
      </c>
      <c r="D83" t="n">
        <v>11</v>
      </c>
      <c r="E83">
        <f>D83-C83</f>
        <v/>
      </c>
    </row>
    <row r="84">
      <c r="A84" t="inlineStr">
        <is>
          <t>EE81</t>
        </is>
      </c>
      <c r="B84" t="n">
        <v>3</v>
      </c>
      <c r="C84" t="n">
        <v>8</v>
      </c>
      <c r="D84" t="n">
        <v>8</v>
      </c>
      <c r="E84">
        <f>D84-C84</f>
        <v/>
      </c>
    </row>
    <row r="85">
      <c r="A85" t="inlineStr">
        <is>
          <t>EE82</t>
        </is>
      </c>
      <c r="B85" t="n">
        <v>2</v>
      </c>
      <c r="C85" t="n">
        <v>9</v>
      </c>
      <c r="D85" t="n">
        <v>6</v>
      </c>
      <c r="E85">
        <f>D85-C85</f>
        <v/>
      </c>
    </row>
    <row r="86">
      <c r="A86" t="inlineStr">
        <is>
          <t>EE83</t>
        </is>
      </c>
      <c r="B86" t="n">
        <v>3</v>
      </c>
      <c r="C86" t="n">
        <v>25</v>
      </c>
      <c r="D86" t="n">
        <v>24.44</v>
      </c>
      <c r="E86">
        <f>D86-C86</f>
        <v/>
      </c>
    </row>
    <row r="87">
      <c r="A87" t="inlineStr">
        <is>
          <t>EE84</t>
        </is>
      </c>
      <c r="B87" t="n">
        <v>4</v>
      </c>
      <c r="C87" t="n">
        <v>18</v>
      </c>
      <c r="D87" t="n">
        <v>18</v>
      </c>
      <c r="E87">
        <f>D87-C87</f>
        <v/>
      </c>
    </row>
    <row r="88">
      <c r="A88" t="inlineStr">
        <is>
          <t>EE85</t>
        </is>
      </c>
      <c r="B88" t="n">
        <v>2</v>
      </c>
      <c r="C88" t="n">
        <v>4</v>
      </c>
      <c r="D88" t="n">
        <v>4</v>
      </c>
      <c r="E88">
        <f>D88-C88</f>
        <v/>
      </c>
    </row>
    <row r="89">
      <c r="A89" t="inlineStr">
        <is>
          <t>EE86</t>
        </is>
      </c>
      <c r="B89" t="n">
        <v>3</v>
      </c>
      <c r="C89" t="n">
        <v>16</v>
      </c>
      <c r="D89" t="n">
        <v>14.01</v>
      </c>
      <c r="E89">
        <f>D89-C89</f>
        <v/>
      </c>
    </row>
    <row r="90">
      <c r="A90" t="inlineStr">
        <is>
          <t>EE87</t>
        </is>
      </c>
      <c r="B90" t="n">
        <v>1</v>
      </c>
      <c r="C90" t="n">
        <v>2</v>
      </c>
      <c r="D90" t="n">
        <v>2</v>
      </c>
      <c r="E90">
        <f>D90-C90</f>
        <v/>
      </c>
    </row>
    <row r="91">
      <c r="A91" t="inlineStr">
        <is>
          <t>EE88</t>
        </is>
      </c>
      <c r="B91" t="n">
        <v>3</v>
      </c>
      <c r="C91" t="n">
        <v>8</v>
      </c>
      <c r="D91" t="n">
        <v>8</v>
      </c>
      <c r="E91">
        <f>D91-C91</f>
        <v/>
      </c>
    </row>
    <row r="92">
      <c r="A92" t="inlineStr">
        <is>
          <t>EE89</t>
        </is>
      </c>
      <c r="B92" t="n">
        <v>5</v>
      </c>
      <c r="C92" t="n">
        <v>21</v>
      </c>
      <c r="D92" t="n">
        <v>21</v>
      </c>
      <c r="E92">
        <f>D92-C92</f>
        <v/>
      </c>
    </row>
    <row r="93">
      <c r="A93" t="inlineStr">
        <is>
          <t>EE90</t>
        </is>
      </c>
      <c r="B93" t="n">
        <v>2</v>
      </c>
      <c r="C93" t="n">
        <v>18</v>
      </c>
      <c r="D93" t="n">
        <v>18</v>
      </c>
      <c r="E93">
        <f>D93-C93</f>
        <v/>
      </c>
    </row>
    <row r="94">
      <c r="A94" t="inlineStr">
        <is>
          <t>EE91</t>
        </is>
      </c>
      <c r="B94" t="n">
        <v>1</v>
      </c>
      <c r="C94" t="n">
        <v>3</v>
      </c>
      <c r="D94" t="n">
        <v>3</v>
      </c>
      <c r="E94">
        <f>D94-C94</f>
        <v/>
      </c>
    </row>
    <row r="95">
      <c r="A95" t="inlineStr">
        <is>
          <t>EE92</t>
        </is>
      </c>
      <c r="B95" t="n">
        <v>5</v>
      </c>
      <c r="C95" t="n">
        <v>27</v>
      </c>
      <c r="D95" t="n">
        <v>26.46</v>
      </c>
      <c r="E95">
        <f>D95-C95</f>
        <v/>
      </c>
    </row>
    <row r="96">
      <c r="A96" t="inlineStr">
        <is>
          <t>EE93</t>
        </is>
      </c>
      <c r="B96" t="n">
        <v>2</v>
      </c>
      <c r="C96" t="n">
        <v>11</v>
      </c>
      <c r="D96" t="n">
        <v>11</v>
      </c>
      <c r="E96">
        <f>D96-C96</f>
        <v/>
      </c>
    </row>
    <row r="97">
      <c r="A97" t="inlineStr">
        <is>
          <t>EE94</t>
        </is>
      </c>
      <c r="B97" t="n">
        <v>1</v>
      </c>
      <c r="C97" t="n">
        <v>2</v>
      </c>
      <c r="D97" t="n">
        <v>2</v>
      </c>
      <c r="E97">
        <f>D97-C97</f>
        <v/>
      </c>
    </row>
    <row r="98">
      <c r="A98" t="inlineStr">
        <is>
          <t>EE95</t>
        </is>
      </c>
      <c r="B98" t="n">
        <v>2</v>
      </c>
      <c r="C98" t="n">
        <v>14</v>
      </c>
      <c r="D98" t="n">
        <v>14</v>
      </c>
      <c r="E98">
        <f>D98-C98</f>
        <v/>
      </c>
    </row>
    <row r="99">
      <c r="A99" t="inlineStr">
        <is>
          <t>EE96</t>
        </is>
      </c>
      <c r="B99" t="n">
        <v>4</v>
      </c>
      <c r="C99" t="n">
        <v>20</v>
      </c>
      <c r="D99" t="n">
        <v>20</v>
      </c>
      <c r="E99">
        <f>D99-C99</f>
        <v/>
      </c>
    </row>
    <row r="100">
      <c r="A100" t="inlineStr">
        <is>
          <t>EE97</t>
        </is>
      </c>
      <c r="B100" t="n">
        <v>1</v>
      </c>
      <c r="C100" t="n">
        <v>11</v>
      </c>
      <c r="D100" t="n">
        <v>11</v>
      </c>
      <c r="E100">
        <f>D100-C100</f>
        <v/>
      </c>
    </row>
    <row r="101">
      <c r="A101" t="inlineStr">
        <is>
          <t>EE98</t>
        </is>
      </c>
      <c r="B101" t="n">
        <v>2</v>
      </c>
      <c r="C101" t="n">
        <v>10</v>
      </c>
      <c r="D101" t="n">
        <v>10</v>
      </c>
      <c r="E101">
        <f>D101-C101</f>
        <v/>
      </c>
    </row>
    <row r="102">
      <c r="A102" t="inlineStr">
        <is>
          <t>EE99</t>
        </is>
      </c>
      <c r="B102" t="n">
        <v>3</v>
      </c>
      <c r="C102" t="n">
        <v>14</v>
      </c>
      <c r="D102" t="n">
        <v>14</v>
      </c>
      <c r="E102">
        <f>D102-C102</f>
        <v/>
      </c>
    </row>
    <row r="103">
      <c r="A103" t="inlineStr">
        <is>
          <t>EE100</t>
        </is>
      </c>
      <c r="B103" t="n">
        <v>3</v>
      </c>
      <c r="C103" t="n">
        <v>22</v>
      </c>
      <c r="D103" t="n">
        <v>20.74</v>
      </c>
      <c r="E103">
        <f>D103-C103</f>
        <v/>
      </c>
    </row>
    <row r="104">
      <c r="A104" t="inlineStr">
        <is>
          <t>EE101</t>
        </is>
      </c>
      <c r="B104" t="n">
        <v>1</v>
      </c>
      <c r="C104" t="n">
        <v>2</v>
      </c>
      <c r="D104" t="n">
        <v>2</v>
      </c>
      <c r="E104">
        <f>D104-C104</f>
        <v/>
      </c>
    </row>
    <row r="105">
      <c r="A105" t="inlineStr">
        <is>
          <t>EE102</t>
        </is>
      </c>
      <c r="B105" t="n">
        <v>2</v>
      </c>
      <c r="C105" t="n">
        <v>7</v>
      </c>
      <c r="D105" t="n">
        <v>7</v>
      </c>
      <c r="E105">
        <f>D105-C105</f>
        <v/>
      </c>
    </row>
    <row r="106">
      <c r="A106" t="inlineStr">
        <is>
          <t>EE103</t>
        </is>
      </c>
      <c r="B106" t="n">
        <v>2</v>
      </c>
      <c r="C106" t="n">
        <v>18</v>
      </c>
      <c r="D106" t="n">
        <v>18</v>
      </c>
      <c r="E106">
        <f>D106-C106</f>
        <v/>
      </c>
    </row>
    <row r="107">
      <c r="A107" t="inlineStr">
        <is>
          <t>EE104</t>
        </is>
      </c>
      <c r="B107" t="n">
        <v>3</v>
      </c>
      <c r="C107" t="n">
        <v>14</v>
      </c>
      <c r="D107" t="n">
        <v>14</v>
      </c>
      <c r="E107">
        <f>D107-C107</f>
        <v/>
      </c>
    </row>
    <row r="108">
      <c r="A108" t="inlineStr">
        <is>
          <t>EE105</t>
        </is>
      </c>
      <c r="B108" t="n">
        <v>2</v>
      </c>
      <c r="C108" t="n">
        <v>18</v>
      </c>
      <c r="D108" t="n">
        <v>18</v>
      </c>
      <c r="E108">
        <f>D108-C108</f>
        <v/>
      </c>
    </row>
    <row r="109">
      <c r="A109" t="inlineStr">
        <is>
          <t>EE106</t>
        </is>
      </c>
      <c r="B109" t="n">
        <v>3</v>
      </c>
      <c r="C109" t="n">
        <v>25</v>
      </c>
      <c r="D109" t="n">
        <v>25</v>
      </c>
      <c r="E109">
        <f>D109-C109</f>
        <v/>
      </c>
    </row>
    <row r="110">
      <c r="A110" t="inlineStr">
        <is>
          <t>EE107</t>
        </is>
      </c>
      <c r="B110" t="n">
        <v>1</v>
      </c>
      <c r="C110" t="n">
        <v>4</v>
      </c>
      <c r="D110" t="n">
        <v>4</v>
      </c>
      <c r="E110">
        <f>D110-C110</f>
        <v/>
      </c>
    </row>
    <row r="111">
      <c r="A111" t="inlineStr">
        <is>
          <t>EE108</t>
        </is>
      </c>
      <c r="B111" t="n">
        <v>3</v>
      </c>
      <c r="C111" t="n">
        <v>8</v>
      </c>
      <c r="D111" t="n">
        <v>8</v>
      </c>
      <c r="E111">
        <f>D111-C111</f>
        <v/>
      </c>
    </row>
    <row r="112">
      <c r="A112" t="inlineStr">
        <is>
          <t>EE109</t>
        </is>
      </c>
      <c r="B112" t="n">
        <v>2</v>
      </c>
      <c r="C112" t="n">
        <v>4</v>
      </c>
      <c r="D112" t="n">
        <v>4</v>
      </c>
      <c r="E112">
        <f>D112-C112</f>
        <v/>
      </c>
    </row>
    <row r="113">
      <c r="A113" t="inlineStr">
        <is>
          <t>EE110</t>
        </is>
      </c>
      <c r="B113" t="n">
        <v>2</v>
      </c>
      <c r="C113" t="n">
        <v>7</v>
      </c>
      <c r="D113" t="n">
        <v>5.52</v>
      </c>
      <c r="E113">
        <f>D113-C113</f>
        <v/>
      </c>
    </row>
    <row r="114">
      <c r="A114" t="inlineStr">
        <is>
          <t>EE111</t>
        </is>
      </c>
      <c r="B114" t="n">
        <v>1</v>
      </c>
      <c r="C114" t="n">
        <v>4</v>
      </c>
      <c r="D114" t="n">
        <v>4</v>
      </c>
      <c r="E114">
        <f>D114-C114</f>
        <v/>
      </c>
    </row>
    <row r="115">
      <c r="A115" t="inlineStr">
        <is>
          <t>EE112</t>
        </is>
      </c>
      <c r="B115" t="n">
        <v>2</v>
      </c>
      <c r="C115" t="n">
        <v>5</v>
      </c>
      <c r="D115" t="n">
        <v>5</v>
      </c>
      <c r="E115">
        <f>D115-C115</f>
        <v/>
      </c>
    </row>
    <row r="116">
      <c r="A116" t="inlineStr">
        <is>
          <t>EE113</t>
        </is>
      </c>
      <c r="B116" t="n">
        <v>4</v>
      </c>
      <c r="C116" t="n">
        <v>16</v>
      </c>
      <c r="D116" t="n">
        <v>16</v>
      </c>
      <c r="E116">
        <f>D116-C116</f>
        <v/>
      </c>
    </row>
    <row r="117">
      <c r="A117" t="inlineStr">
        <is>
          <t>EE114</t>
        </is>
      </c>
      <c r="B117" t="n">
        <v>1</v>
      </c>
      <c r="C117" t="n">
        <v>3</v>
      </c>
      <c r="D117" t="n">
        <v>3</v>
      </c>
      <c r="E117">
        <f>D117-C117</f>
        <v/>
      </c>
    </row>
    <row r="118">
      <c r="A118" t="inlineStr">
        <is>
          <t>EE115</t>
        </is>
      </c>
      <c r="B118" t="n">
        <v>5</v>
      </c>
      <c r="C118" t="n">
        <v>26</v>
      </c>
      <c r="D118" t="n">
        <v>24.37</v>
      </c>
      <c r="E118">
        <f>D118-C118</f>
        <v/>
      </c>
    </row>
    <row r="119">
      <c r="A119" t="inlineStr">
        <is>
          <t>EE116</t>
        </is>
      </c>
      <c r="B119" t="n">
        <v>2</v>
      </c>
      <c r="C119" t="n">
        <v>7</v>
      </c>
      <c r="D119" t="n">
        <v>4.11</v>
      </c>
      <c r="E119">
        <f>D119-C119</f>
        <v/>
      </c>
    </row>
    <row r="120">
      <c r="A120" t="inlineStr">
        <is>
          <t>EE117</t>
        </is>
      </c>
      <c r="B120" t="n">
        <v>1</v>
      </c>
      <c r="C120" t="n">
        <v>8</v>
      </c>
      <c r="D120" t="n">
        <v>8</v>
      </c>
      <c r="E120">
        <f>D120-C120</f>
        <v/>
      </c>
    </row>
    <row r="121">
      <c r="A121" t="inlineStr">
        <is>
          <t>EE118</t>
        </is>
      </c>
      <c r="B121" t="n">
        <v>3</v>
      </c>
      <c r="C121" t="n">
        <v>12</v>
      </c>
      <c r="D121" t="n">
        <v>8</v>
      </c>
      <c r="E121">
        <f>D121-C121</f>
        <v/>
      </c>
    </row>
    <row r="122">
      <c r="A122" t="inlineStr">
        <is>
          <t>EE119</t>
        </is>
      </c>
      <c r="B122" t="n">
        <v>3</v>
      </c>
      <c r="C122" t="n">
        <v>12</v>
      </c>
      <c r="D122" t="n">
        <v>12</v>
      </c>
      <c r="E122">
        <f>D122-C122</f>
        <v/>
      </c>
    </row>
    <row r="123">
      <c r="A123" t="inlineStr">
        <is>
          <t>EE120</t>
        </is>
      </c>
      <c r="B123" t="n">
        <v>2</v>
      </c>
      <c r="C123" t="n">
        <v>14</v>
      </c>
      <c r="D123" t="n">
        <v>14</v>
      </c>
      <c r="E123">
        <f>D123-C123</f>
        <v/>
      </c>
    </row>
    <row r="124">
      <c r="A124" t="inlineStr">
        <is>
          <t>EE121</t>
        </is>
      </c>
      <c r="B124" t="n">
        <v>4</v>
      </c>
      <c r="C124" t="n">
        <v>9</v>
      </c>
      <c r="D124" t="n">
        <v>9</v>
      </c>
      <c r="E124">
        <f>D124-C124</f>
        <v/>
      </c>
    </row>
    <row r="125">
      <c r="A125" t="inlineStr">
        <is>
          <t>EE122</t>
        </is>
      </c>
      <c r="B125" t="n">
        <v>4</v>
      </c>
      <c r="C125" t="n">
        <v>11</v>
      </c>
      <c r="D125" t="n">
        <v>11</v>
      </c>
      <c r="E125">
        <f>D125-C125</f>
        <v/>
      </c>
    </row>
    <row r="126">
      <c r="A126" t="inlineStr">
        <is>
          <t>EE123</t>
        </is>
      </c>
      <c r="B126" t="n">
        <v>2</v>
      </c>
      <c r="C126" t="n">
        <v>13</v>
      </c>
      <c r="D126" t="n">
        <v>13</v>
      </c>
      <c r="E126">
        <f>D126-C126</f>
        <v/>
      </c>
    </row>
    <row r="127">
      <c r="A127" t="inlineStr">
        <is>
          <t>EE124</t>
        </is>
      </c>
      <c r="B127" t="n">
        <v>3</v>
      </c>
      <c r="C127" t="n">
        <v>18</v>
      </c>
      <c r="D127" t="n">
        <v>18</v>
      </c>
      <c r="E127">
        <f>D127-C127</f>
        <v/>
      </c>
    </row>
    <row r="128">
      <c r="A128" t="inlineStr">
        <is>
          <t>EE125</t>
        </is>
      </c>
      <c r="B128" t="n">
        <v>2</v>
      </c>
      <c r="C128" t="n">
        <v>5</v>
      </c>
      <c r="D128" t="n">
        <v>5</v>
      </c>
      <c r="E128">
        <f>D128-C128</f>
        <v/>
      </c>
    </row>
    <row r="129">
      <c r="A129" t="inlineStr">
        <is>
          <t>EE126</t>
        </is>
      </c>
      <c r="B129" t="n">
        <v>1</v>
      </c>
      <c r="C129" t="n">
        <v>4</v>
      </c>
      <c r="D129" t="n">
        <v>4</v>
      </c>
      <c r="E129">
        <f>D129-C129</f>
        <v/>
      </c>
    </row>
    <row r="130">
      <c r="A130" t="inlineStr">
        <is>
          <t>EE127</t>
        </is>
      </c>
      <c r="B130" t="n">
        <v>3</v>
      </c>
      <c r="C130" t="n">
        <v>26</v>
      </c>
      <c r="D130" t="n">
        <v>18</v>
      </c>
      <c r="E130">
        <f>D130-C130</f>
        <v/>
      </c>
    </row>
    <row r="131">
      <c r="A131" t="inlineStr">
        <is>
          <t>EE128</t>
        </is>
      </c>
      <c r="B131" t="n">
        <v>1</v>
      </c>
      <c r="C131" t="n">
        <v>2</v>
      </c>
      <c r="D131" t="n">
        <v>2</v>
      </c>
      <c r="E131">
        <f>D131-C131</f>
        <v/>
      </c>
    </row>
    <row r="132">
      <c r="A132" t="inlineStr">
        <is>
          <t>EE129</t>
        </is>
      </c>
      <c r="B132" t="n">
        <v>2</v>
      </c>
      <c r="C132" t="n">
        <v>10</v>
      </c>
      <c r="D132" t="n">
        <v>10</v>
      </c>
      <c r="E132">
        <f>D132-C132</f>
        <v/>
      </c>
    </row>
    <row r="133">
      <c r="A133" t="inlineStr">
        <is>
          <t>EE130</t>
        </is>
      </c>
      <c r="B133" t="n">
        <v>5</v>
      </c>
      <c r="C133" t="n">
        <v>15</v>
      </c>
      <c r="D133" t="n">
        <v>14.09</v>
      </c>
      <c r="E133">
        <f>D133-C133</f>
        <v/>
      </c>
    </row>
    <row r="134">
      <c r="A134" t="inlineStr">
        <is>
          <t>EE131</t>
        </is>
      </c>
      <c r="B134" t="n">
        <v>3</v>
      </c>
      <c r="C134" t="n">
        <v>14</v>
      </c>
      <c r="D134" t="n">
        <v>14</v>
      </c>
      <c r="E134">
        <f>D134-C134</f>
        <v/>
      </c>
    </row>
    <row r="135">
      <c r="A135" t="inlineStr">
        <is>
          <t>EE132</t>
        </is>
      </c>
      <c r="B135" t="n">
        <v>2</v>
      </c>
      <c r="C135" t="n">
        <v>20</v>
      </c>
      <c r="D135" t="n">
        <v>16.24</v>
      </c>
      <c r="E135">
        <f>D135-C135</f>
        <v/>
      </c>
    </row>
    <row r="136">
      <c r="A136" t="inlineStr">
        <is>
          <t>EE133</t>
        </is>
      </c>
      <c r="B136" t="n">
        <v>5</v>
      </c>
      <c r="C136" t="n">
        <v>12</v>
      </c>
      <c r="D136" t="n">
        <v>12</v>
      </c>
      <c r="E136">
        <f>D136-C136</f>
        <v/>
      </c>
    </row>
    <row r="137">
      <c r="A137" t="inlineStr">
        <is>
          <t>EE134</t>
        </is>
      </c>
      <c r="B137" t="n">
        <v>2</v>
      </c>
      <c r="C137" t="n">
        <v>15</v>
      </c>
      <c r="D137" t="n">
        <v>14.25</v>
      </c>
      <c r="E137">
        <f>D137-C137</f>
        <v/>
      </c>
    </row>
    <row r="138">
      <c r="A138" t="inlineStr">
        <is>
          <t>EE135</t>
        </is>
      </c>
      <c r="B138" t="n">
        <v>1</v>
      </c>
      <c r="C138" t="n">
        <v>6</v>
      </c>
      <c r="D138" t="n">
        <v>5.57</v>
      </c>
      <c r="E138">
        <f>D138-C138</f>
        <v/>
      </c>
    </row>
    <row r="139">
      <c r="A139" t="inlineStr">
        <is>
          <t>EE136</t>
        </is>
      </c>
      <c r="B139" t="n">
        <v>3</v>
      </c>
      <c r="C139" t="n">
        <v>6</v>
      </c>
      <c r="D139" t="n">
        <v>4</v>
      </c>
      <c r="E139">
        <f>D139-C139</f>
        <v/>
      </c>
    </row>
    <row r="140">
      <c r="A140" t="inlineStr">
        <is>
          <t>EE137</t>
        </is>
      </c>
      <c r="B140" t="n">
        <v>3</v>
      </c>
      <c r="C140" t="n">
        <v>10</v>
      </c>
      <c r="D140" t="n">
        <v>10</v>
      </c>
      <c r="E140">
        <f>D140-C140</f>
        <v/>
      </c>
    </row>
    <row r="141">
      <c r="A141" t="inlineStr">
        <is>
          <t>EE138</t>
        </is>
      </c>
      <c r="B141" t="n">
        <v>2</v>
      </c>
      <c r="C141" t="n">
        <v>19</v>
      </c>
      <c r="D141" t="n">
        <v>19</v>
      </c>
      <c r="E141">
        <f>D141-C141</f>
        <v/>
      </c>
    </row>
    <row r="142">
      <c r="A142" t="inlineStr">
        <is>
          <t>EE139</t>
        </is>
      </c>
      <c r="B142" t="n">
        <v>3</v>
      </c>
      <c r="C142" t="n">
        <v>13</v>
      </c>
      <c r="D142" t="n">
        <v>13</v>
      </c>
      <c r="E142">
        <f>D142-C142</f>
        <v/>
      </c>
    </row>
    <row r="143">
      <c r="A143" t="inlineStr">
        <is>
          <t>EE140</t>
        </is>
      </c>
      <c r="B143" t="n">
        <v>5</v>
      </c>
      <c r="C143" t="n">
        <v>35</v>
      </c>
      <c r="D143" t="n">
        <v>33</v>
      </c>
      <c r="E143">
        <f>D143-C143</f>
        <v/>
      </c>
    </row>
    <row r="144">
      <c r="A144" t="inlineStr">
        <is>
          <t>EE141</t>
        </is>
      </c>
      <c r="B144" t="n">
        <v>3</v>
      </c>
      <c r="C144" t="n">
        <v>11</v>
      </c>
      <c r="D144" t="n">
        <v>11</v>
      </c>
      <c r="E144">
        <f>D144-C144</f>
        <v/>
      </c>
    </row>
    <row r="145">
      <c r="A145" t="inlineStr">
        <is>
          <t>EE142</t>
        </is>
      </c>
      <c r="B145" t="n">
        <v>1</v>
      </c>
      <c r="C145" t="n">
        <v>3</v>
      </c>
      <c r="D145" t="n">
        <v>3</v>
      </c>
      <c r="E145">
        <f>D145-C145</f>
        <v/>
      </c>
    </row>
    <row r="146">
      <c r="A146" t="inlineStr">
        <is>
          <t>EE143</t>
        </is>
      </c>
      <c r="B146" t="n">
        <v>3</v>
      </c>
      <c r="C146" t="n">
        <v>17</v>
      </c>
      <c r="D146" t="n">
        <v>9</v>
      </c>
      <c r="E146">
        <f>D146-C146</f>
        <v/>
      </c>
    </row>
    <row r="147">
      <c r="A147" t="inlineStr">
        <is>
          <t>EE144</t>
        </is>
      </c>
      <c r="B147" t="n">
        <v>4</v>
      </c>
      <c r="C147" t="n">
        <v>15</v>
      </c>
      <c r="D147" t="n">
        <v>15</v>
      </c>
      <c r="E147">
        <f>D147-C147</f>
        <v/>
      </c>
    </row>
    <row r="148">
      <c r="A148" t="inlineStr">
        <is>
          <t>EE145</t>
        </is>
      </c>
      <c r="B148" t="n">
        <v>5</v>
      </c>
      <c r="C148" t="n">
        <v>14</v>
      </c>
      <c r="D148" t="n">
        <v>12</v>
      </c>
      <c r="E148">
        <f>D148-C148</f>
        <v/>
      </c>
    </row>
    <row r="149">
      <c r="A149" t="inlineStr">
        <is>
          <t>EE146</t>
        </is>
      </c>
      <c r="B149" t="n">
        <v>2</v>
      </c>
      <c r="C149" t="n">
        <v>10</v>
      </c>
      <c r="D149" t="n">
        <v>10</v>
      </c>
      <c r="E149">
        <f>D149-C149</f>
        <v/>
      </c>
    </row>
    <row r="150">
      <c r="A150" t="inlineStr">
        <is>
          <t>EE147</t>
        </is>
      </c>
      <c r="B150" t="n">
        <v>4</v>
      </c>
      <c r="C150" t="n">
        <v>16</v>
      </c>
      <c r="D150" t="n">
        <v>16</v>
      </c>
      <c r="E150">
        <f>D150-C150</f>
        <v/>
      </c>
    </row>
    <row r="151">
      <c r="A151" t="inlineStr">
        <is>
          <t>EE148</t>
        </is>
      </c>
      <c r="B151" t="n">
        <v>2</v>
      </c>
      <c r="C151" t="n">
        <v>4</v>
      </c>
      <c r="D151" t="n">
        <v>4</v>
      </c>
      <c r="E151">
        <f>D151-C151</f>
        <v/>
      </c>
    </row>
    <row r="152">
      <c r="A152" t="inlineStr">
        <is>
          <t>EE149</t>
        </is>
      </c>
      <c r="B152" t="n">
        <v>1</v>
      </c>
      <c r="C152" t="n">
        <v>3</v>
      </c>
      <c r="D152" t="n">
        <v>3</v>
      </c>
      <c r="E152">
        <f>D152-C152</f>
        <v/>
      </c>
    </row>
    <row r="153">
      <c r="A153" t="inlineStr">
        <is>
          <t>EE150</t>
        </is>
      </c>
      <c r="B153" t="n">
        <v>4</v>
      </c>
      <c r="C153" t="n">
        <v>19</v>
      </c>
      <c r="D153" t="n">
        <v>19</v>
      </c>
      <c r="E153">
        <f>D153-C153</f>
        <v/>
      </c>
    </row>
    <row r="154">
      <c r="A154" t="inlineStr">
        <is>
          <t>EE151</t>
        </is>
      </c>
      <c r="B154" t="n">
        <v>1</v>
      </c>
      <c r="C154" t="n">
        <v>3</v>
      </c>
      <c r="D154" t="n">
        <v>3</v>
      </c>
      <c r="E154">
        <f>D154-C154</f>
        <v/>
      </c>
    </row>
    <row r="155">
      <c r="A155" t="inlineStr">
        <is>
          <t>EE152</t>
        </is>
      </c>
      <c r="B155" t="n">
        <v>2</v>
      </c>
      <c r="C155" t="n">
        <v>10</v>
      </c>
      <c r="D155" t="n">
        <v>10</v>
      </c>
      <c r="E155">
        <f>D155-C155</f>
        <v/>
      </c>
    </row>
    <row r="156">
      <c r="A156" t="inlineStr">
        <is>
          <t>EE153</t>
        </is>
      </c>
      <c r="B156" t="n">
        <v>4</v>
      </c>
      <c r="C156" t="n">
        <v>16</v>
      </c>
      <c r="D156" t="n">
        <v>16</v>
      </c>
      <c r="E156">
        <f>D156-C156</f>
        <v/>
      </c>
    </row>
    <row r="157">
      <c r="A157" t="inlineStr">
        <is>
          <t>EE154</t>
        </is>
      </c>
      <c r="B157" t="n">
        <v>1</v>
      </c>
      <c r="C157" t="n">
        <v>4</v>
      </c>
      <c r="D157" t="n">
        <v>4</v>
      </c>
      <c r="E157">
        <f>D157-C157</f>
        <v/>
      </c>
    </row>
    <row r="158">
      <c r="A158" t="inlineStr">
        <is>
          <t>EE155</t>
        </is>
      </c>
      <c r="B158" t="n">
        <v>2</v>
      </c>
      <c r="C158" t="n">
        <v>4</v>
      </c>
      <c r="D158" t="n">
        <v>4</v>
      </c>
      <c r="E158">
        <f>D158-C158</f>
        <v/>
      </c>
    </row>
    <row r="159">
      <c r="A159" t="inlineStr">
        <is>
          <t>EE156</t>
        </is>
      </c>
      <c r="B159" t="n">
        <v>4</v>
      </c>
      <c r="C159" t="n">
        <v>16</v>
      </c>
      <c r="D159" t="n">
        <v>14.93</v>
      </c>
      <c r="E159">
        <f>D159-C159</f>
        <v/>
      </c>
    </row>
    <row r="160">
      <c r="A160" t="inlineStr">
        <is>
          <t>EE157</t>
        </is>
      </c>
      <c r="B160" t="n">
        <v>3</v>
      </c>
      <c r="C160" t="n">
        <v>18</v>
      </c>
      <c r="D160" t="n">
        <v>18</v>
      </c>
      <c r="E160">
        <f>D160-C160</f>
        <v/>
      </c>
    </row>
    <row r="161">
      <c r="A161" t="inlineStr">
        <is>
          <t>EE158</t>
        </is>
      </c>
      <c r="B161" t="n">
        <v>5</v>
      </c>
      <c r="C161" t="n">
        <v>15</v>
      </c>
      <c r="D161" t="n">
        <v>15</v>
      </c>
      <c r="E161">
        <f>D161-C161</f>
        <v/>
      </c>
    </row>
    <row r="162">
      <c r="A162" t="inlineStr">
        <is>
          <t>EE159</t>
        </is>
      </c>
      <c r="B162" t="n">
        <v>2</v>
      </c>
      <c r="C162" t="n">
        <v>17</v>
      </c>
      <c r="D162" t="n">
        <v>17</v>
      </c>
      <c r="E162">
        <f>D162-C162</f>
        <v/>
      </c>
    </row>
    <row r="163">
      <c r="A163" t="inlineStr">
        <is>
          <t>EE160</t>
        </is>
      </c>
      <c r="B163" t="n">
        <v>2</v>
      </c>
      <c r="C163" t="n">
        <v>7</v>
      </c>
      <c r="D163" t="n">
        <v>7</v>
      </c>
      <c r="E163">
        <f>D163-C163</f>
        <v/>
      </c>
    </row>
    <row r="164">
      <c r="A164" t="inlineStr">
        <is>
          <t>EE162</t>
        </is>
      </c>
      <c r="B164" t="n">
        <v>2</v>
      </c>
      <c r="C164" t="n">
        <v>16</v>
      </c>
      <c r="D164" t="n">
        <v>14.44</v>
      </c>
      <c r="E164">
        <f>D164-C164</f>
        <v/>
      </c>
    </row>
    <row r="165">
      <c r="A165" t="inlineStr">
        <is>
          <t>EE163</t>
        </is>
      </c>
      <c r="B165" t="n">
        <v>3</v>
      </c>
      <c r="C165" t="n">
        <v>28</v>
      </c>
      <c r="D165" t="n">
        <v>28</v>
      </c>
      <c r="E165">
        <f>D165-C165</f>
        <v/>
      </c>
    </row>
    <row r="166">
      <c r="A166" t="inlineStr">
        <is>
          <t>EE164</t>
        </is>
      </c>
      <c r="B166" t="n">
        <v>4</v>
      </c>
      <c r="C166" t="n">
        <v>25</v>
      </c>
      <c r="D166" t="n">
        <v>25</v>
      </c>
      <c r="E166">
        <f>D166-C166</f>
        <v/>
      </c>
    </row>
    <row r="167">
      <c r="A167" t="inlineStr">
        <is>
          <t>EE165</t>
        </is>
      </c>
      <c r="B167" t="n">
        <v>5</v>
      </c>
      <c r="C167" t="n">
        <v>21</v>
      </c>
      <c r="D167" t="n">
        <v>21</v>
      </c>
      <c r="E167">
        <f>D167-C167</f>
        <v/>
      </c>
    </row>
    <row r="168">
      <c r="A168" t="inlineStr">
        <is>
          <t>EE166</t>
        </is>
      </c>
      <c r="B168" t="n">
        <v>3</v>
      </c>
      <c r="C168" t="n">
        <v>13</v>
      </c>
      <c r="D168" t="n">
        <v>13</v>
      </c>
      <c r="E168">
        <f>D168-C168</f>
        <v/>
      </c>
    </row>
    <row r="169">
      <c r="A169" t="inlineStr">
        <is>
          <t>EE167</t>
        </is>
      </c>
      <c r="B169" t="n">
        <v>4</v>
      </c>
      <c r="C169" t="n">
        <v>20</v>
      </c>
      <c r="D169" t="n">
        <v>20</v>
      </c>
      <c r="E169">
        <f>D169-C169</f>
        <v/>
      </c>
    </row>
    <row r="170">
      <c r="A170" t="inlineStr">
        <is>
          <t>EE168</t>
        </is>
      </c>
      <c r="B170" t="n">
        <v>6</v>
      </c>
      <c r="C170" t="n">
        <v>30</v>
      </c>
      <c r="D170" t="n">
        <v>30</v>
      </c>
      <c r="E170">
        <f>D170-C170</f>
        <v/>
      </c>
    </row>
    <row r="171">
      <c r="A171" t="inlineStr">
        <is>
          <t>EE169</t>
        </is>
      </c>
      <c r="B171" t="n">
        <v>3</v>
      </c>
      <c r="C171" t="n">
        <v>6</v>
      </c>
      <c r="D171" t="n">
        <v>6</v>
      </c>
      <c r="E171">
        <f>D171-C171</f>
        <v/>
      </c>
    </row>
    <row r="172">
      <c r="A172" t="inlineStr">
        <is>
          <t>EE170</t>
        </is>
      </c>
      <c r="B172" t="n">
        <v>4</v>
      </c>
      <c r="C172" t="n">
        <v>22</v>
      </c>
      <c r="D172" t="n">
        <v>21.51</v>
      </c>
      <c r="E172">
        <f>D172-C172</f>
        <v/>
      </c>
    </row>
    <row r="173">
      <c r="A173" t="inlineStr">
        <is>
          <t>EE171</t>
        </is>
      </c>
      <c r="B173" t="n">
        <v>1</v>
      </c>
      <c r="C173" t="n">
        <v>2</v>
      </c>
      <c r="D173" t="n">
        <v>2</v>
      </c>
      <c r="E173">
        <f>D173-C173</f>
        <v/>
      </c>
    </row>
    <row r="174">
      <c r="A174" t="inlineStr">
        <is>
          <t>EE172</t>
        </is>
      </c>
      <c r="B174" t="n">
        <v>2</v>
      </c>
      <c r="C174" t="n">
        <v>10</v>
      </c>
      <c r="D174" t="n">
        <v>7</v>
      </c>
      <c r="E174">
        <f>D174-C174</f>
        <v/>
      </c>
    </row>
    <row r="175">
      <c r="A175" t="inlineStr">
        <is>
          <t>EE173</t>
        </is>
      </c>
      <c r="B175" t="n">
        <v>1</v>
      </c>
      <c r="C175" t="n">
        <v>6</v>
      </c>
      <c r="D175" t="n">
        <v>6</v>
      </c>
      <c r="E175">
        <f>D175-C175</f>
        <v/>
      </c>
    </row>
    <row r="176">
      <c r="A176" t="inlineStr">
        <is>
          <t>EE174</t>
        </is>
      </c>
      <c r="B176" t="n">
        <v>5</v>
      </c>
      <c r="C176" t="n">
        <v>42</v>
      </c>
      <c r="D176" t="n">
        <v>42</v>
      </c>
      <c r="E176">
        <f>D176-C176</f>
        <v/>
      </c>
    </row>
    <row r="177">
      <c r="A177" t="inlineStr">
        <is>
          <t>EE175</t>
        </is>
      </c>
      <c r="B177" t="n">
        <v>4</v>
      </c>
      <c r="C177" t="n">
        <v>13</v>
      </c>
      <c r="D177" t="n">
        <v>13</v>
      </c>
      <c r="E177">
        <f>D177-C177</f>
        <v/>
      </c>
    </row>
    <row r="178">
      <c r="A178" t="inlineStr">
        <is>
          <t>EE176</t>
        </is>
      </c>
      <c r="B178" t="n">
        <v>5</v>
      </c>
      <c r="C178" t="n">
        <v>16</v>
      </c>
      <c r="D178" t="n">
        <v>15.16</v>
      </c>
      <c r="E178">
        <f>D178-C178</f>
        <v/>
      </c>
    </row>
    <row r="179">
      <c r="A179" t="inlineStr">
        <is>
          <t>EE177</t>
        </is>
      </c>
      <c r="B179" t="n">
        <v>1</v>
      </c>
      <c r="C179" t="n">
        <v>4</v>
      </c>
      <c r="D179" t="n">
        <v>4</v>
      </c>
      <c r="E179">
        <f>D179-C179</f>
        <v/>
      </c>
    </row>
    <row r="180">
      <c r="A180" t="inlineStr">
        <is>
          <t>EE178</t>
        </is>
      </c>
      <c r="B180" t="n">
        <v>2</v>
      </c>
      <c r="C180" t="n">
        <v>10</v>
      </c>
      <c r="D180" t="n">
        <v>10</v>
      </c>
      <c r="E180">
        <f>D180-C180</f>
        <v/>
      </c>
    </row>
    <row r="181">
      <c r="A181" t="inlineStr">
        <is>
          <t>EE179</t>
        </is>
      </c>
      <c r="B181" t="n">
        <v>2</v>
      </c>
      <c r="C181" t="n">
        <v>18</v>
      </c>
      <c r="D181" t="n">
        <v>18</v>
      </c>
      <c r="E181">
        <f>D181-C181</f>
        <v/>
      </c>
    </row>
    <row r="182">
      <c r="A182" t="inlineStr">
        <is>
          <t>EE180</t>
        </is>
      </c>
      <c r="B182" t="n">
        <v>4</v>
      </c>
      <c r="C182" t="n">
        <v>16</v>
      </c>
      <c r="D182" t="n">
        <v>16</v>
      </c>
      <c r="E182">
        <f>D182-C182</f>
        <v/>
      </c>
    </row>
    <row r="183">
      <c r="A183" t="inlineStr">
        <is>
          <t>EE181</t>
        </is>
      </c>
      <c r="B183" t="n">
        <v>3</v>
      </c>
      <c r="C183" t="n">
        <v>8</v>
      </c>
      <c r="D183" t="n">
        <v>8</v>
      </c>
      <c r="E183">
        <f>D183-C183</f>
        <v/>
      </c>
    </row>
    <row r="184">
      <c r="A184" t="inlineStr">
        <is>
          <t>EE182</t>
        </is>
      </c>
      <c r="B184" t="n">
        <v>1</v>
      </c>
      <c r="C184" t="n">
        <v>2</v>
      </c>
      <c r="D184" t="n">
        <v>2</v>
      </c>
      <c r="E184">
        <f>D184-C184</f>
        <v/>
      </c>
    </row>
    <row r="185">
      <c r="A185" t="inlineStr">
        <is>
          <t>EE183</t>
        </is>
      </c>
      <c r="B185" t="n">
        <v>4</v>
      </c>
      <c r="C185" t="n">
        <v>16</v>
      </c>
      <c r="D185" t="n">
        <v>16</v>
      </c>
      <c r="E185">
        <f>D185-C185</f>
        <v/>
      </c>
    </row>
    <row r="186">
      <c r="A186" t="inlineStr">
        <is>
          <t>EE184</t>
        </is>
      </c>
      <c r="B186" t="n">
        <v>2</v>
      </c>
      <c r="C186" t="n">
        <v>8</v>
      </c>
      <c r="D186" t="n">
        <v>8</v>
      </c>
      <c r="E186">
        <f>D186-C186</f>
        <v/>
      </c>
    </row>
    <row r="187">
      <c r="A187" t="inlineStr">
        <is>
          <t>EE185</t>
        </is>
      </c>
      <c r="B187" t="n">
        <v>3</v>
      </c>
      <c r="C187" t="n">
        <v>9</v>
      </c>
      <c r="D187" t="n">
        <v>9</v>
      </c>
      <c r="E187">
        <f>D187-C187</f>
        <v/>
      </c>
    </row>
    <row r="188">
      <c r="A188" t="inlineStr">
        <is>
          <t>EE186</t>
        </is>
      </c>
      <c r="B188" t="n">
        <v>1</v>
      </c>
      <c r="C188" t="n">
        <v>2</v>
      </c>
      <c r="D188" t="n">
        <v>2</v>
      </c>
      <c r="E188">
        <f>D188-C188</f>
        <v/>
      </c>
    </row>
    <row r="189">
      <c r="A189" t="inlineStr">
        <is>
          <t>EE187</t>
        </is>
      </c>
      <c r="B189" t="n">
        <v>3</v>
      </c>
      <c r="C189" t="n">
        <v>18</v>
      </c>
      <c r="D189" t="n">
        <v>15.02</v>
      </c>
      <c r="E189">
        <f>D189-C189</f>
        <v/>
      </c>
    </row>
    <row r="190">
      <c r="A190" t="inlineStr">
        <is>
          <t>EE188</t>
        </is>
      </c>
      <c r="B190" t="n">
        <v>1</v>
      </c>
      <c r="C190" t="n">
        <v>4</v>
      </c>
      <c r="D190" t="n">
        <v>4</v>
      </c>
      <c r="E190">
        <f>D190-C190</f>
        <v/>
      </c>
    </row>
    <row r="191">
      <c r="A191" t="inlineStr">
        <is>
          <t>EE189</t>
        </is>
      </c>
      <c r="B191" t="n">
        <v>2</v>
      </c>
      <c r="C191" t="n">
        <v>20</v>
      </c>
      <c r="D191" t="n">
        <v>20</v>
      </c>
      <c r="E191">
        <f>D191-C191</f>
        <v/>
      </c>
    </row>
    <row r="192">
      <c r="A192" t="inlineStr">
        <is>
          <t>EE190</t>
        </is>
      </c>
      <c r="B192" t="n">
        <v>3</v>
      </c>
      <c r="C192" t="n">
        <v>12</v>
      </c>
      <c r="D192" t="n">
        <v>7.8</v>
      </c>
      <c r="E192">
        <f>D192-C192</f>
        <v/>
      </c>
    </row>
    <row r="193">
      <c r="A193" t="inlineStr">
        <is>
          <t>Grand Total</t>
        </is>
      </c>
      <c r="B193" t="n">
        <v>492</v>
      </c>
      <c r="C193" t="n">
        <v>2349</v>
      </c>
      <c r="D193" t="n">
        <v>2272.28</v>
      </c>
    </row>
    <row r="194"/>
    <row r="195"/>
    <row r="196"/>
    <row r="197"/>
    <row r="198"/>
    <row r="199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5">
    <tabColor theme="8" tint="0.3999755851924192"/>
    <outlinePr summaryBelow="1" summaryRight="1"/>
    <pageSetUpPr/>
  </sheetPr>
  <dimension ref="A1:D36"/>
  <sheetViews>
    <sheetView showGridLines="0" showRowColHeaders="0" zoomScale="90" zoomScaleNormal="90" workbookViewId="0">
      <selection activeCell="B10" sqref="B10:B11"/>
    </sheetView>
  </sheetViews>
  <sheetFormatPr baseColWidth="8" defaultRowHeight="15"/>
  <cols>
    <col width="17.28515625" customWidth="1" style="19" min="1" max="1"/>
    <col width="27.5703125" customWidth="1" style="19" min="2" max="2"/>
    <col width="2.5703125" customWidth="1" style="19" min="3" max="3"/>
    <col width="9.140625" customWidth="1" style="19" min="4" max="16384"/>
  </cols>
  <sheetData>
    <row r="1" ht="30" customHeight="1">
      <c r="A1" s="21" t="inlineStr">
        <is>
          <t>HRSSC TRAINING</t>
        </is>
      </c>
      <c r="D1" s="64" t="n"/>
    </row>
    <row r="2" customFormat="1" s="20">
      <c r="A2" s="65" t="n"/>
    </row>
    <row r="3" ht="15.75" customFormat="1" customHeight="1" s="20" thickBot="1">
      <c r="A3" s="66" t="n"/>
      <c r="B3" s="68" t="n"/>
    </row>
    <row r="4" customFormat="1" s="20">
      <c r="A4" s="67" t="n"/>
      <c r="B4" s="106" t="inlineStr">
        <is>
          <t>EE1</t>
        </is>
      </c>
    </row>
    <row r="5" ht="15.75" customFormat="1" customHeight="1" s="20" thickBot="1">
      <c r="A5" s="66" t="n"/>
      <c r="B5" s="107" t="n"/>
    </row>
    <row r="6" ht="15.75" customFormat="1" customHeight="1" s="20" thickBot="1">
      <c r="A6" s="65" t="n"/>
      <c r="B6" s="70" t="n"/>
    </row>
    <row r="7" customFormat="1" s="20">
      <c r="A7" s="65" t="n"/>
      <c r="B7" s="108">
        <f>VLOOKUP(B4,Train_Log[],3,FALSE)</f>
        <v/>
      </c>
    </row>
    <row r="8" ht="15.75" customFormat="1" customHeight="1" s="20" thickBot="1">
      <c r="A8" s="65" t="n"/>
      <c r="B8" s="107" t="n"/>
    </row>
    <row r="9" ht="15.75" customFormat="1" customHeight="1" s="20" thickBot="1">
      <c r="A9" s="65" t="n"/>
      <c r="B9" s="70" t="n"/>
    </row>
    <row r="10" customFormat="1" s="20">
      <c r="A10" s="65" t="n"/>
      <c r="B10" s="109">
        <f>VLOOKUP($B$4,Train_Log[],17,)</f>
        <v/>
      </c>
    </row>
    <row r="11" ht="15.75" customFormat="1" customHeight="1" s="20" thickBot="1">
      <c r="A11" s="65" t="n"/>
      <c r="B11" s="110" t="n"/>
    </row>
    <row r="12" customFormat="1" s="20">
      <c r="A12" s="65" t="n"/>
    </row>
    <row r="13" customFormat="1" s="20">
      <c r="A13" s="65" t="n"/>
    </row>
    <row r="14" customFormat="1" s="20">
      <c r="A14" s="65" t="n"/>
    </row>
    <row r="15" customFormat="1" s="20">
      <c r="A15" s="65" t="n"/>
    </row>
    <row r="16" customFormat="1" s="20">
      <c r="A16" s="65" t="n"/>
    </row>
    <row r="17" customFormat="1" s="20">
      <c r="A17" s="65" t="n"/>
    </row>
    <row r="18" customFormat="1" s="20"/>
    <row r="19" customFormat="1" s="20"/>
    <row r="20" customFormat="1" s="20"/>
    <row r="21" customFormat="1" s="20"/>
    <row r="22" customFormat="1" s="20"/>
    <row r="23" customFormat="1" s="20"/>
    <row r="24" customFormat="1" s="20"/>
    <row r="25" customFormat="1" s="20"/>
    <row r="26" customFormat="1" s="20"/>
    <row r="27" customFormat="1" s="20"/>
    <row r="28" customFormat="1" s="20"/>
    <row r="29" customFormat="1" s="20"/>
    <row r="30" customFormat="1" s="20"/>
    <row r="31" customFormat="1" s="20"/>
    <row r="32" customFormat="1" s="20"/>
    <row r="33" customFormat="1" s="20"/>
    <row r="34" customFormat="1" s="20"/>
    <row r="35" customFormat="1" s="20"/>
    <row r="36" customFormat="1" s="20">
      <c r="B36" s="69" t="n"/>
    </row>
    <row r="37" customFormat="1" s="20"/>
    <row r="38" customFormat="1" s="20"/>
    <row r="39" customFormat="1" s="20"/>
    <row r="40" customFormat="1" s="20"/>
    <row r="41" customFormat="1" s="20"/>
    <row r="42" customFormat="1" s="20"/>
    <row r="43" customFormat="1" s="20"/>
    <row r="44" customFormat="1" s="20"/>
    <row r="45" customFormat="1" s="20"/>
    <row r="46" customFormat="1" s="20"/>
    <row r="47" customFormat="1" s="20"/>
    <row r="48" customFormat="1" s="20"/>
    <row r="49" customFormat="1" s="20"/>
    <row r="50" customFormat="1" s="20"/>
    <row r="51" customFormat="1" s="20"/>
    <row r="52" customFormat="1" s="20"/>
    <row r="53" customFormat="1" s="20"/>
    <row r="54" customFormat="1" s="20"/>
    <row r="55" customFormat="1" s="20"/>
    <row r="56" customFormat="1" s="20"/>
    <row r="57" customFormat="1" s="20"/>
    <row r="58" customFormat="1" s="20"/>
    <row r="59" customFormat="1" s="20"/>
    <row r="60" customFormat="1" s="20"/>
    <row r="61" customFormat="1" s="20"/>
    <row r="62" customFormat="1" s="20"/>
    <row r="63" customFormat="1" s="20"/>
    <row r="64" customFormat="1" s="20"/>
    <row r="65" customFormat="1" s="20"/>
    <row r="66" customFormat="1" s="20"/>
    <row r="67" customFormat="1" s="20"/>
    <row r="68" customFormat="1" s="20"/>
    <row r="69" customFormat="1" s="20"/>
    <row r="70" customFormat="1" s="20"/>
    <row r="71" customFormat="1" s="20"/>
    <row r="72" customFormat="1" s="20"/>
    <row r="73" customFormat="1" s="20"/>
    <row r="74" customFormat="1" s="20"/>
    <row r="75" customFormat="1" s="20"/>
    <row r="76" customFormat="1" s="20"/>
    <row r="77" customFormat="1" s="20"/>
    <row r="78" customFormat="1" s="20"/>
    <row r="79" customFormat="1" s="20"/>
    <row r="80" customFormat="1" s="20"/>
    <row r="81" customFormat="1" s="20"/>
    <row r="82" customFormat="1" s="20"/>
    <row r="83" customFormat="1" s="20"/>
    <row r="84" customFormat="1" s="20"/>
    <row r="85" customFormat="1" s="20"/>
    <row r="86" customFormat="1" s="20"/>
    <row r="87" customFormat="1" s="20"/>
    <row r="88" customFormat="1" s="20"/>
    <row r="89" customFormat="1" s="20"/>
    <row r="90" customFormat="1" s="20"/>
    <row r="91" customFormat="1" s="20"/>
    <row r="92" customFormat="1" s="20"/>
    <row r="93" customFormat="1" s="20"/>
    <row r="94" customFormat="1" s="20"/>
    <row r="95" customFormat="1" s="20"/>
    <row r="96" customFormat="1" s="20"/>
    <row r="97" customFormat="1" s="20"/>
    <row r="98" customFormat="1" s="20"/>
    <row r="99" customFormat="1" s="20"/>
    <row r="100" customFormat="1" s="20"/>
    <row r="101" customFormat="1" s="20"/>
    <row r="102" customFormat="1" s="20"/>
    <row r="103" customFormat="1" s="20"/>
    <row r="104" customFormat="1" s="20"/>
    <row r="105" customFormat="1" s="20"/>
    <row r="106" customFormat="1" s="20"/>
    <row r="107" customFormat="1" s="20"/>
    <row r="108" customFormat="1" s="20"/>
    <row r="109" customFormat="1" s="20"/>
    <row r="110" customFormat="1" s="20"/>
    <row r="111" customFormat="1" s="20"/>
    <row r="112" customFormat="1" s="20"/>
    <row r="113" customFormat="1" s="20"/>
    <row r="114" customFormat="1" s="20"/>
    <row r="115" customFormat="1" s="20"/>
    <row r="116" customFormat="1" s="20"/>
    <row r="117" customFormat="1" s="20"/>
    <row r="118" customFormat="1" s="20"/>
    <row r="119" customFormat="1" s="20"/>
    <row r="120" customFormat="1" s="20"/>
    <row r="121" customFormat="1" s="20"/>
    <row r="122" customFormat="1" s="20"/>
    <row r="123" customFormat="1" s="20"/>
    <row r="124" customFormat="1" s="20"/>
    <row r="125" customFormat="1" s="20"/>
    <row r="126" customFormat="1" s="20"/>
    <row r="127" customFormat="1" s="20"/>
    <row r="128" customFormat="1" s="20"/>
    <row r="129" customFormat="1" s="20"/>
    <row r="130" customFormat="1" s="20"/>
    <row r="131" customFormat="1" s="20"/>
    <row r="132" customFormat="1" s="20"/>
    <row r="133" customFormat="1" s="20"/>
    <row r="134" customFormat="1" s="20"/>
    <row r="135" customFormat="1" s="20"/>
    <row r="136" customFormat="1" s="20"/>
    <row r="137" customFormat="1" s="20"/>
    <row r="138" customFormat="1" s="20"/>
    <row r="139" customFormat="1" s="20"/>
    <row r="140" customFormat="1" s="20"/>
    <row r="141" customFormat="1" s="20"/>
    <row r="142" customFormat="1" s="20"/>
    <row r="143" customFormat="1" s="20"/>
    <row r="144" customFormat="1" s="20"/>
    <row r="145" customFormat="1" s="20"/>
  </sheetData>
  <mergeCells count="3">
    <mergeCell ref="B10:B11"/>
    <mergeCell ref="B7:B8"/>
    <mergeCell ref="B4:B5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B1:W3000"/>
  <sheetViews>
    <sheetView topLeftCell="A406" zoomScale="80" zoomScaleNormal="80" workbookViewId="0">
      <selection activeCell="B452" sqref="B452"/>
    </sheetView>
  </sheetViews>
  <sheetFormatPr baseColWidth="8" defaultRowHeight="15"/>
  <cols>
    <col width="6" customWidth="1" style="37" min="1" max="1"/>
    <col width="24.140625" bestFit="1" customWidth="1" style="38" min="2" max="2"/>
    <col width="6" bestFit="1" customWidth="1" style="38" min="3" max="3"/>
    <col width="10.140625" bestFit="1" customWidth="1" style="48" min="4" max="4"/>
    <col width="40" bestFit="1" customWidth="1" style="38" min="5" max="5"/>
    <col width="8.140625" bestFit="1" customWidth="1" style="40" min="6" max="7"/>
    <col width="9.28515625" bestFit="1" customWidth="1" style="40" min="8" max="8"/>
    <col width="2.28515625" bestFit="1" customWidth="1" style="41" min="9" max="9"/>
    <col width="6.42578125" bestFit="1" customWidth="1" style="41" min="10" max="10"/>
    <col width="25.28515625" bestFit="1" customWidth="1" style="38" min="11" max="11"/>
    <col width="13.42578125" bestFit="1" customWidth="1" style="38" min="12" max="12"/>
    <col width="19.28515625" bestFit="1" customWidth="1" style="38" min="13" max="13"/>
    <col width="2.7109375" bestFit="1" customWidth="1" style="38" min="14" max="14"/>
    <col width="4.140625" bestFit="1" customWidth="1" style="38" min="15" max="15"/>
    <col width="8.42578125" customWidth="1" style="38" min="16" max="16"/>
    <col width="7.28515625" customWidth="1" style="62" min="17" max="17"/>
    <col width="11.85546875" customWidth="1" style="62" min="18" max="18"/>
    <col width="28" customWidth="1" style="62" min="19" max="19"/>
    <col width="52.7109375" customWidth="1" style="62" min="20" max="20"/>
    <col width="9.140625" customWidth="1" style="5" min="21" max="23"/>
    <col width="6" bestFit="1" customWidth="1" style="37" min="24" max="24"/>
    <col width="9.140625" customWidth="1" style="37" min="25" max="16384"/>
  </cols>
  <sheetData>
    <row r="1" ht="142.5" customFormat="1" customHeight="1" s="36" thickBot="1">
      <c r="B1" s="31" t="inlineStr">
        <is>
          <t>NAME</t>
        </is>
      </c>
      <c r="C1" s="31" t="inlineStr">
        <is>
          <t>ABSENT</t>
        </is>
      </c>
      <c r="D1" s="32" t="inlineStr">
        <is>
          <t>EIN</t>
        </is>
      </c>
      <c r="E1" s="31" t="inlineStr">
        <is>
          <t>COURSE NAME:</t>
        </is>
      </c>
      <c r="F1" s="33" t="inlineStr">
        <is>
          <t>COURSE START DATE:</t>
        </is>
      </c>
      <c r="G1" s="33" t="inlineStr">
        <is>
          <t>TODAY'S DATE</t>
        </is>
      </c>
      <c r="H1" s="33" t="inlineStr">
        <is>
          <t>COURSE END DATE</t>
        </is>
      </c>
      <c r="I1" s="31" t="inlineStr">
        <is>
          <t>CREDIT HOURS/DAY</t>
        </is>
      </c>
      <c r="J1" s="31" t="inlineStr">
        <is>
          <t>CREDIT HOURS EARNED</t>
        </is>
      </c>
      <c r="K1" s="31" t="inlineStr">
        <is>
          <t>INSTRUCTOR 1</t>
        </is>
      </c>
      <c r="L1" s="31" t="inlineStr">
        <is>
          <t>INSTRUCTOR 2</t>
        </is>
      </c>
      <c r="M1" s="31" t="inlineStr">
        <is>
          <t>INSTRUCTOR 3</t>
        </is>
      </c>
      <c r="N1" s="31" t="inlineStr">
        <is>
          <t>INSTRUCTOR 4</t>
        </is>
      </c>
      <c r="O1" s="31" t="inlineStr">
        <is>
          <t>LOGGED BY</t>
        </is>
      </c>
      <c r="P1" s="31" t="inlineStr">
        <is>
          <t>LOGGED DATE</t>
        </is>
      </c>
      <c r="Q1" s="60" t="inlineStr">
        <is>
          <t>Attrition</t>
        </is>
      </c>
      <c r="R1" s="60" t="inlineStr">
        <is>
          <t>Department</t>
        </is>
      </c>
      <c r="S1" s="60" t="inlineStr">
        <is>
          <t>Course Topic</t>
        </is>
      </c>
      <c r="T1" s="60" t="inlineStr">
        <is>
          <t>Code</t>
        </is>
      </c>
      <c r="U1" s="34" t="n"/>
      <c r="V1" s="35" t="n"/>
      <c r="W1" s="30" t="n"/>
    </row>
    <row r="2">
      <c r="B2" s="45" t="inlineStr">
        <is>
          <t>EE146</t>
        </is>
      </c>
      <c r="C2" s="38" t="inlineStr">
        <is>
          <t>No</t>
        </is>
      </c>
      <c r="D2" s="46" t="inlineStr">
        <is>
          <t>5963143</t>
        </is>
      </c>
      <c r="E2" s="45" t="inlineStr">
        <is>
          <t>PHONES - EMPLOYMENT VERIFICATION</t>
        </is>
      </c>
      <c r="F2" s="44" t="n">
        <v>45386</v>
      </c>
      <c r="G2" s="40" t="n">
        <v>45390</v>
      </c>
      <c r="H2" s="44" t="n">
        <v>45390</v>
      </c>
      <c r="I2" s="41" t="n">
        <v>2</v>
      </c>
      <c r="J2" s="47" t="n">
        <v>2</v>
      </c>
      <c r="K2" s="45" t="inlineStr">
        <is>
          <t>TR 9</t>
        </is>
      </c>
      <c r="L2" s="45" t="inlineStr">
        <is>
          <t>TR 3</t>
        </is>
      </c>
      <c r="M2" s="45" t="inlineStr">
        <is>
          <t>--</t>
        </is>
      </c>
      <c r="N2" s="38" t="inlineStr">
        <is>
          <t>--</t>
        </is>
      </c>
      <c r="O2" s="38" t="inlineStr">
        <is>
          <t>JJH</t>
        </is>
      </c>
      <c r="Q2" s="62">
        <f>IF(C2="Yes", 1, IF(C2="no", 0, IF(C2= "tardy", SUM(J2/I2),"")))</f>
        <v/>
      </c>
      <c r="R2" s="62">
        <f>LEFT(Train_Log[[#This Row],[COURSE NAME:]],FIND(" - ", Train_Log[[#This Row],[COURSE NAME:]]) -1)</f>
        <v/>
      </c>
      <c r="S2" s="62">
        <f>MID(Train_Log[[#This Row],[COURSE NAME:]],FIND(" - ", Train_Log[[#This Row],[COURSE NAME:]]), 13)</f>
        <v/>
      </c>
      <c r="T2" s="62">
        <f>MID(E2, FIND(" - ", E2) + 3, LEN(E2)) &amp; "_" &amp; TEXT(F2, "yyyymmdd") &amp; "_" &amp; TEXT(H2, "yyyymmdd")</f>
        <v/>
      </c>
    </row>
    <row r="3">
      <c r="B3" s="38" t="inlineStr">
        <is>
          <t>EE33</t>
        </is>
      </c>
      <c r="C3" s="38" t="inlineStr">
        <is>
          <t>No</t>
        </is>
      </c>
      <c r="D3" s="39" t="inlineStr">
        <is>
          <t>4669659</t>
        </is>
      </c>
      <c r="E3" s="38" t="inlineStr">
        <is>
          <t>OPTIONAL RETIREMENTS - MAILBUILD</t>
        </is>
      </c>
      <c r="F3" s="44" t="n">
        <v>45468</v>
      </c>
      <c r="G3" s="40" t="n">
        <v>45468</v>
      </c>
      <c r="H3" s="44" t="n">
        <v>45468</v>
      </c>
      <c r="I3" s="41" t="n">
        <v>8</v>
      </c>
      <c r="J3" s="42" t="n">
        <v>8</v>
      </c>
      <c r="K3" s="38" t="inlineStr">
        <is>
          <t>TR 7</t>
        </is>
      </c>
      <c r="L3" s="38" t="inlineStr">
        <is>
          <t>TR 4</t>
        </is>
      </c>
      <c r="M3" s="38" t="inlineStr">
        <is>
          <t>--</t>
        </is>
      </c>
      <c r="N3" s="38" t="inlineStr">
        <is>
          <t>--</t>
        </is>
      </c>
      <c r="O3" s="38" t="inlineStr">
        <is>
          <t>JJH</t>
        </is>
      </c>
      <c r="Q3" s="62">
        <f>IF(C3="Yes", 1, IF(C3="no", 0, IF(C3= "tardy", SUM(J3/I3),"")))</f>
        <v/>
      </c>
      <c r="R3" s="62">
        <f>LEFT(Train_Log[[#This Row],[COURSE NAME:]],FIND(" - ", Train_Log[[#This Row],[COURSE NAME:]]) -1)</f>
        <v/>
      </c>
      <c r="S3" s="62">
        <f>MID(Train_Log[[#This Row],[COURSE NAME:]],FIND(" - ", Train_Log[[#This Row],[COURSE NAME:]]), 13)</f>
        <v/>
      </c>
      <c r="T3" s="62">
        <f>MID(E3, FIND(" - ", E3) + 3, LEN(E3)) &amp; "_" &amp; TEXT(F3, "yyyymmdd") &amp; "_" &amp; TEXT(H3, "yyyymmdd")</f>
        <v/>
      </c>
    </row>
    <row r="4">
      <c r="B4" s="38" t="inlineStr">
        <is>
          <t>EE139</t>
        </is>
      </c>
      <c r="C4" s="38" t="inlineStr">
        <is>
          <t>No</t>
        </is>
      </c>
      <c r="D4" s="39" t="inlineStr">
        <is>
          <t>6854145</t>
        </is>
      </c>
      <c r="E4" s="38" t="inlineStr">
        <is>
          <t>SUPPORT - TRAINING - PTSP TRAINING</t>
        </is>
      </c>
      <c r="F4" s="44" t="n">
        <v>45618</v>
      </c>
      <c r="G4" s="40" t="n">
        <v>45619</v>
      </c>
      <c r="H4" s="44" t="n">
        <v>45619</v>
      </c>
      <c r="I4" s="41" t="n">
        <v>3</v>
      </c>
      <c r="J4" s="42" t="n">
        <v>3</v>
      </c>
      <c r="K4" s="38" t="inlineStr">
        <is>
          <t>TR 8</t>
        </is>
      </c>
      <c r="L4" s="38" t="inlineStr">
        <is>
          <t>TR 9</t>
        </is>
      </c>
      <c r="M4" s="38" t="inlineStr">
        <is>
          <t>--</t>
        </is>
      </c>
      <c r="N4" s="38" t="inlineStr">
        <is>
          <t>--</t>
        </is>
      </c>
      <c r="O4" s="38" t="inlineStr">
        <is>
          <t>JJH</t>
        </is>
      </c>
      <c r="Q4" s="62">
        <f>IF(C4="Yes", 1, IF(C4="no", 0, IF(C4= "tardy", SUM(J4/I4),"")))</f>
        <v/>
      </c>
      <c r="R4" s="62">
        <f>LEFT(Train_Log[[#This Row],[COURSE NAME:]],FIND(" - ", Train_Log[[#This Row],[COURSE NAME:]]) -1)</f>
        <v/>
      </c>
      <c r="S4" s="62">
        <f>MID(Train_Log[[#This Row],[COURSE NAME:]],FIND(" - ", Train_Log[[#This Row],[COURSE NAME:]]), 13)</f>
        <v/>
      </c>
      <c r="T4" s="62">
        <f>MID(E4, FIND(" - ", E4) + 3, LEN(E4)) &amp; "_" &amp; TEXT(F4, "yyyymmdd") &amp; "_" &amp; TEXT(H4, "yyyymmdd")</f>
        <v/>
      </c>
    </row>
    <row r="5">
      <c r="B5" s="38" t="inlineStr">
        <is>
          <t>EE116</t>
        </is>
      </c>
      <c r="C5" s="38" t="inlineStr">
        <is>
          <t>tardy</t>
        </is>
      </c>
      <c r="D5" s="39" t="inlineStr">
        <is>
          <t>5924564</t>
        </is>
      </c>
      <c r="E5" s="38" t="inlineStr">
        <is>
          <t>PHONES - EMPLOYMENT VERIFICATION</t>
        </is>
      </c>
      <c r="F5" s="44" t="n">
        <v>45552</v>
      </c>
      <c r="G5" s="40" t="n">
        <v>45552</v>
      </c>
      <c r="H5" s="44" t="n">
        <v>45552</v>
      </c>
      <c r="I5" s="41" t="n">
        <v>2</v>
      </c>
      <c r="J5" s="42" t="n">
        <v>1.47</v>
      </c>
      <c r="K5" s="38" t="inlineStr">
        <is>
          <t>TR 4</t>
        </is>
      </c>
      <c r="L5" s="38" t="inlineStr">
        <is>
          <t>TR 10</t>
        </is>
      </c>
      <c r="M5" s="38" t="inlineStr">
        <is>
          <t>--</t>
        </is>
      </c>
      <c r="N5" s="38" t="inlineStr">
        <is>
          <t>--</t>
        </is>
      </c>
      <c r="O5" s="38" t="inlineStr">
        <is>
          <t>JJH</t>
        </is>
      </c>
      <c r="Q5" s="62">
        <f>IF(C5="Yes", 1, IF(C5="no", 0, IF(C5= "tardy", SUM(J5/I5),"")))</f>
        <v/>
      </c>
      <c r="R5" s="62">
        <f>LEFT(Train_Log[[#This Row],[COURSE NAME:]],FIND(" - ", Train_Log[[#This Row],[COURSE NAME:]]) -1)</f>
        <v/>
      </c>
      <c r="S5" s="62">
        <f>MID(Train_Log[[#This Row],[COURSE NAME:]],FIND(" - ", Train_Log[[#This Row],[COURSE NAME:]]), 13)</f>
        <v/>
      </c>
      <c r="T5" s="62">
        <f>MID(E5, FIND(" - ", E5) + 3, LEN(E5)) &amp; "_" &amp; TEXT(F5, "yyyymmdd") &amp; "_" &amp; TEXT(H5, "yyyymmdd")</f>
        <v/>
      </c>
    </row>
    <row r="6">
      <c r="B6" s="38" t="inlineStr">
        <is>
          <t>EE57</t>
        </is>
      </c>
      <c r="C6" s="38" t="inlineStr">
        <is>
          <t>No</t>
        </is>
      </c>
      <c r="D6" s="39" t="inlineStr">
        <is>
          <t>6636706</t>
        </is>
      </c>
      <c r="E6" s="38" t="inlineStr">
        <is>
          <t>PHONES - BENEFITS</t>
        </is>
      </c>
      <c r="F6" s="44" t="n">
        <v>45371</v>
      </c>
      <c r="G6" s="40" t="n">
        <v>45375</v>
      </c>
      <c r="H6" s="44" t="n">
        <v>45375</v>
      </c>
      <c r="I6" s="41" t="n">
        <v>2</v>
      </c>
      <c r="J6" s="42" t="n">
        <v>2</v>
      </c>
      <c r="K6" s="38" t="inlineStr">
        <is>
          <t>TR 2</t>
        </is>
      </c>
      <c r="L6" s="38" t="inlineStr">
        <is>
          <t>TR 1</t>
        </is>
      </c>
      <c r="M6" s="38" t="inlineStr">
        <is>
          <t>--</t>
        </is>
      </c>
      <c r="N6" s="38" t="inlineStr">
        <is>
          <t>--</t>
        </is>
      </c>
      <c r="O6" s="38" t="inlineStr">
        <is>
          <t>JJH</t>
        </is>
      </c>
      <c r="Q6" s="62">
        <f>IF(C6="Yes", 1, IF(C6="no", 0, IF(C6= "tardy", SUM(J6/I6),"")))</f>
        <v/>
      </c>
      <c r="R6" s="62">
        <f>LEFT(Train_Log[[#This Row],[COURSE NAME:]],FIND(" - ", Train_Log[[#This Row],[COURSE NAME:]]) -1)</f>
        <v/>
      </c>
      <c r="S6" s="62">
        <f>MID(Train_Log[[#This Row],[COURSE NAME:]],FIND(" - ", Train_Log[[#This Row],[COURSE NAME:]]), 13)</f>
        <v/>
      </c>
      <c r="T6" s="62">
        <f>MID(E6, FIND(" - ", E6) + 3, LEN(E6)) &amp; "_" &amp; TEXT(F6, "yyyymmdd") &amp; "_" &amp; TEXT(H6, "yyyymmdd")</f>
        <v/>
      </c>
    </row>
    <row r="7">
      <c r="B7" s="38" t="inlineStr">
        <is>
          <t>EE85</t>
        </is>
      </c>
      <c r="C7" s="38" t="inlineStr">
        <is>
          <t>No</t>
        </is>
      </c>
      <c r="D7" s="39" t="inlineStr">
        <is>
          <t>4299483</t>
        </is>
      </c>
      <c r="E7" s="38" t="inlineStr">
        <is>
          <t>PHONES - EMPLOYMENT VERIFICATION</t>
        </is>
      </c>
      <c r="F7" s="44" t="n">
        <v>45542</v>
      </c>
      <c r="G7" s="40" t="n">
        <v>45542</v>
      </c>
      <c r="H7" s="44" t="n">
        <v>45542</v>
      </c>
      <c r="I7" s="41" t="n">
        <v>2</v>
      </c>
      <c r="J7" s="42" t="n">
        <v>2</v>
      </c>
      <c r="K7" s="38" t="inlineStr">
        <is>
          <t>TR 9</t>
        </is>
      </c>
      <c r="L7" s="38" t="inlineStr">
        <is>
          <t>TR 3</t>
        </is>
      </c>
      <c r="M7" s="38" t="inlineStr">
        <is>
          <t>--</t>
        </is>
      </c>
      <c r="N7" s="38" t="inlineStr">
        <is>
          <t>--</t>
        </is>
      </c>
      <c r="O7" s="38" t="inlineStr">
        <is>
          <t>JJH</t>
        </is>
      </c>
      <c r="Q7" s="62">
        <f>IF(C7="Yes", 1, IF(C7="no", 0, IF(C7= "tardy", SUM(J7/I7),"")))</f>
        <v/>
      </c>
      <c r="R7" s="62">
        <f>LEFT(Train_Log[[#This Row],[COURSE NAME:]],FIND(" - ", Train_Log[[#This Row],[COURSE NAME:]]) -1)</f>
        <v/>
      </c>
      <c r="S7" s="62">
        <f>MID(Train_Log[[#This Row],[COURSE NAME:]],FIND(" - ", Train_Log[[#This Row],[COURSE NAME:]]), 13)</f>
        <v/>
      </c>
      <c r="T7" s="62">
        <f>MID(E7, FIND(" - ", E7) + 3, LEN(E7)) &amp; "_" &amp; TEXT(F7, "yyyymmdd") &amp; "_" &amp; TEXT(H7, "yyyymmdd")</f>
        <v/>
      </c>
    </row>
    <row r="8">
      <c r="B8" s="38" t="inlineStr">
        <is>
          <t>EE186</t>
        </is>
      </c>
      <c r="C8" s="38" t="inlineStr">
        <is>
          <t>No</t>
        </is>
      </c>
      <c r="D8" s="39" t="inlineStr">
        <is>
          <t>5522451</t>
        </is>
      </c>
      <c r="E8" s="38" t="inlineStr">
        <is>
          <t>OPTIONAL RETIREMENTS - MAILBUILD</t>
        </is>
      </c>
      <c r="F8" s="44" t="n">
        <v>45547</v>
      </c>
      <c r="G8" s="40" t="n">
        <v>45548</v>
      </c>
      <c r="H8" s="44" t="n">
        <v>45548</v>
      </c>
      <c r="I8" s="41" t="n">
        <v>2</v>
      </c>
      <c r="J8" s="42" t="n">
        <v>2</v>
      </c>
      <c r="K8" s="38" t="inlineStr">
        <is>
          <t>TR 2</t>
        </is>
      </c>
      <c r="L8" s="38" t="inlineStr">
        <is>
          <t>TR 2</t>
        </is>
      </c>
      <c r="M8" s="38" t="inlineStr">
        <is>
          <t>--</t>
        </is>
      </c>
      <c r="N8" s="38" t="inlineStr">
        <is>
          <t>--</t>
        </is>
      </c>
      <c r="O8" s="38" t="inlineStr">
        <is>
          <t>JJH</t>
        </is>
      </c>
      <c r="Q8" s="62">
        <f>IF(C8="Yes", 1, IF(C8="no", 0, IF(C8= "tardy", SUM(J8/I8),"")))</f>
        <v/>
      </c>
      <c r="R8" s="62">
        <f>LEFT(Train_Log[[#This Row],[COURSE NAME:]],FIND(" - ", Train_Log[[#This Row],[COURSE NAME:]]) -1)</f>
        <v/>
      </c>
      <c r="S8" s="62">
        <f>MID(Train_Log[[#This Row],[COURSE NAME:]],FIND(" - ", Train_Log[[#This Row],[COURSE NAME:]]), 13)</f>
        <v/>
      </c>
      <c r="T8" s="62">
        <f>MID(E8, FIND(" - ", E8) + 3, LEN(E8)) &amp; "_" &amp; TEXT(F8, "yyyymmdd") &amp; "_" &amp; TEXT(H8, "yyyymmdd")</f>
        <v/>
      </c>
    </row>
    <row r="9">
      <c r="B9" s="38" t="inlineStr">
        <is>
          <t>EE169</t>
        </is>
      </c>
      <c r="C9" s="38" t="inlineStr">
        <is>
          <t>No</t>
        </is>
      </c>
      <c r="D9" s="39" t="inlineStr">
        <is>
          <t>6622699</t>
        </is>
      </c>
      <c r="E9" s="38" t="inlineStr">
        <is>
          <t>LWOP - HCES SU FACILITATION TRAINING</t>
        </is>
      </c>
      <c r="F9" s="44" t="n">
        <v>45661</v>
      </c>
      <c r="G9" s="40" t="n">
        <v>45662</v>
      </c>
      <c r="H9" s="44" t="n">
        <v>45662</v>
      </c>
      <c r="I9" s="41" t="n">
        <v>2</v>
      </c>
      <c r="J9" s="42" t="n">
        <v>2</v>
      </c>
      <c r="K9" s="38" t="inlineStr">
        <is>
          <t>TR 2</t>
        </is>
      </c>
      <c r="L9" s="38" t="inlineStr">
        <is>
          <t>TR 1</t>
        </is>
      </c>
      <c r="M9" s="38" t="inlineStr">
        <is>
          <t>--</t>
        </is>
      </c>
      <c r="N9" s="38" t="inlineStr">
        <is>
          <t>--</t>
        </is>
      </c>
      <c r="O9" s="38" t="inlineStr">
        <is>
          <t>JJH</t>
        </is>
      </c>
      <c r="Q9" s="62">
        <f>IF(C9="Yes", 1, IF(C9="no", 0, IF(C9= "tardy", SUM(J9/I9),"")))</f>
        <v/>
      </c>
      <c r="R9" s="62">
        <f>LEFT(Train_Log[[#This Row],[COURSE NAME:]],FIND(" - ", Train_Log[[#This Row],[COURSE NAME:]]) -1)</f>
        <v/>
      </c>
      <c r="S9" s="62">
        <f>MID(Train_Log[[#This Row],[COURSE NAME:]],FIND(" - ", Train_Log[[#This Row],[COURSE NAME:]]), 13)</f>
        <v/>
      </c>
      <c r="T9" s="62">
        <f>MID(E9, FIND(" - ", E9) + 3, LEN(E9)) &amp; "_" &amp; TEXT(F9, "yyyymmdd") &amp; "_" &amp; TEXT(H9, "yyyymmdd")</f>
        <v/>
      </c>
    </row>
    <row r="10">
      <c r="B10" s="38" t="inlineStr">
        <is>
          <t>EE104</t>
        </is>
      </c>
      <c r="C10" s="38" t="inlineStr">
        <is>
          <t>No</t>
        </is>
      </c>
      <c r="D10" s="39" t="inlineStr">
        <is>
          <t>5323105</t>
        </is>
      </c>
      <c r="E10" s="38" t="inlineStr">
        <is>
          <t>LWOP - HCES SUPERUSER TRAINING</t>
        </is>
      </c>
      <c r="F10" s="44" t="n">
        <v>45410</v>
      </c>
      <c r="G10" s="40" t="n">
        <v>45410</v>
      </c>
      <c r="H10" s="44" t="n">
        <v>45410</v>
      </c>
      <c r="I10" s="41" t="n">
        <v>8</v>
      </c>
      <c r="J10" s="42" t="n">
        <v>8</v>
      </c>
      <c r="K10" s="38" t="inlineStr">
        <is>
          <t>TR 8</t>
        </is>
      </c>
      <c r="L10" s="38" t="inlineStr">
        <is>
          <t>TR 3</t>
        </is>
      </c>
      <c r="M10" s="38" t="inlineStr">
        <is>
          <t>--</t>
        </is>
      </c>
      <c r="N10" s="38" t="inlineStr">
        <is>
          <t>--</t>
        </is>
      </c>
      <c r="O10" s="38" t="inlineStr">
        <is>
          <t>JJH</t>
        </is>
      </c>
      <c r="Q10" s="62">
        <f>IF(C10="Yes", 1, IF(C10="no", 0, IF(C10= "tardy", SUM(J10/I10),"")))</f>
        <v/>
      </c>
      <c r="R10" s="62">
        <f>LEFT(Train_Log[[#This Row],[COURSE NAME:]],FIND(" - ", Train_Log[[#This Row],[COURSE NAME:]]) -1)</f>
        <v/>
      </c>
      <c r="S10" s="62">
        <f>MID(Train_Log[[#This Row],[COURSE NAME:]],FIND(" - ", Train_Log[[#This Row],[COURSE NAME:]]), 13)</f>
        <v/>
      </c>
      <c r="T10" s="62">
        <f>MID(E10, FIND(" - ", E10) + 3, LEN(E10)) &amp; "_" &amp; TEXT(F10, "yyyymmdd") &amp; "_" &amp; TEXT(H10, "yyyymmdd")</f>
        <v/>
      </c>
    </row>
    <row r="11">
      <c r="B11" s="38" t="inlineStr">
        <is>
          <t>EE109</t>
        </is>
      </c>
      <c r="C11" s="38" t="inlineStr">
        <is>
          <t>No</t>
        </is>
      </c>
      <c r="D11" s="39" t="inlineStr">
        <is>
          <t>6378925</t>
        </is>
      </c>
      <c r="E11" s="38" t="inlineStr">
        <is>
          <t>PHONES - LWOP</t>
        </is>
      </c>
      <c r="F11" s="44" t="n">
        <v>45584</v>
      </c>
      <c r="G11" s="40" t="n">
        <v>45585</v>
      </c>
      <c r="H11" s="44" t="n">
        <v>45585</v>
      </c>
      <c r="I11" s="41" t="n">
        <v>2</v>
      </c>
      <c r="J11" s="42" t="n">
        <v>2</v>
      </c>
      <c r="K11" s="38" t="inlineStr">
        <is>
          <t>TR 8</t>
        </is>
      </c>
      <c r="L11" s="38" t="inlineStr">
        <is>
          <t>TR 9</t>
        </is>
      </c>
      <c r="M11" s="38" t="inlineStr">
        <is>
          <t>--</t>
        </is>
      </c>
      <c r="N11" s="38" t="inlineStr">
        <is>
          <t>--</t>
        </is>
      </c>
      <c r="O11" s="38" t="inlineStr">
        <is>
          <t>JJH</t>
        </is>
      </c>
      <c r="Q11" s="62">
        <f>IF(C11="Yes", 1, IF(C11="no", 0, IF(C11= "tardy", SUM(J11/I11),"")))</f>
        <v/>
      </c>
      <c r="R11" s="62">
        <f>LEFT(Train_Log[[#This Row],[COURSE NAME:]],FIND(" - ", Train_Log[[#This Row],[COURSE NAME:]]) -1)</f>
        <v/>
      </c>
      <c r="S11" s="62">
        <f>MID(Train_Log[[#This Row],[COURSE NAME:]],FIND(" - ", Train_Log[[#This Row],[COURSE NAME:]]), 13)</f>
        <v/>
      </c>
      <c r="T11" s="62">
        <f>MID(E11, FIND(" - ", E11) + 3, LEN(E11)) &amp; "_" &amp; TEXT(F11, "yyyymmdd") &amp; "_" &amp; TEXT(H11, "yyyymmdd")</f>
        <v/>
      </c>
    </row>
    <row r="12">
      <c r="B12" s="38" t="inlineStr">
        <is>
          <t>EE26</t>
        </is>
      </c>
      <c r="C12" s="38" t="inlineStr">
        <is>
          <t>No</t>
        </is>
      </c>
      <c r="D12" s="39" t="inlineStr">
        <is>
          <t>6285650</t>
        </is>
      </c>
      <c r="E12" s="38" t="inlineStr">
        <is>
          <t>PHONES - BENEFITS</t>
        </is>
      </c>
      <c r="F12" s="44" t="n">
        <v>45314</v>
      </c>
      <c r="G12" s="40" t="n">
        <v>45314</v>
      </c>
      <c r="H12" s="44" t="n">
        <v>45314</v>
      </c>
      <c r="I12" s="41" t="n">
        <v>2</v>
      </c>
      <c r="J12" s="42" t="n">
        <v>2</v>
      </c>
      <c r="K12" s="38" t="inlineStr">
        <is>
          <t>TR 3</t>
        </is>
      </c>
      <c r="L12" s="38" t="inlineStr">
        <is>
          <t>TR 7</t>
        </is>
      </c>
      <c r="M12" s="38" t="inlineStr">
        <is>
          <t>--</t>
        </is>
      </c>
      <c r="N12" s="38" t="inlineStr">
        <is>
          <t>--</t>
        </is>
      </c>
      <c r="O12" s="38" t="inlineStr">
        <is>
          <t>JJH</t>
        </is>
      </c>
      <c r="Q12" s="62">
        <f>IF(C12="Yes", 1, IF(C12="no", 0, IF(C12= "tardy", SUM(J12/I12),"")))</f>
        <v/>
      </c>
      <c r="R12" s="62">
        <f>LEFT(Train_Log[[#This Row],[COURSE NAME:]],FIND(" - ", Train_Log[[#This Row],[COURSE NAME:]]) -1)</f>
        <v/>
      </c>
      <c r="S12" s="62">
        <f>MID(Train_Log[[#This Row],[COURSE NAME:]],FIND(" - ", Train_Log[[#This Row],[COURSE NAME:]]), 13)</f>
        <v/>
      </c>
      <c r="T12" s="62">
        <f>MID(E12, FIND(" - ", E12) + 3, LEN(E12)) &amp; "_" &amp; TEXT(F12, "yyyymmdd") &amp; "_" &amp; TEXT(H12, "yyyymmdd")</f>
        <v/>
      </c>
    </row>
    <row r="13">
      <c r="B13" s="38" t="inlineStr">
        <is>
          <t>EE125</t>
        </is>
      </c>
      <c r="C13" s="38" t="inlineStr">
        <is>
          <t>No</t>
        </is>
      </c>
      <c r="D13" s="39" t="inlineStr">
        <is>
          <t>5796981</t>
        </is>
      </c>
      <c r="E13" s="38" t="inlineStr">
        <is>
          <t>OPTIONAL RETIREMENTS - MAILBUILD</t>
        </is>
      </c>
      <c r="F13" s="44" t="n">
        <v>45517</v>
      </c>
      <c r="G13" s="40" t="n">
        <v>45518</v>
      </c>
      <c r="H13" s="44" t="n">
        <v>45518</v>
      </c>
      <c r="I13" s="41" t="n">
        <v>2</v>
      </c>
      <c r="J13" s="42" t="n">
        <v>2</v>
      </c>
      <c r="K13" s="38" t="inlineStr">
        <is>
          <t>TR 7</t>
        </is>
      </c>
      <c r="L13" s="38" t="inlineStr">
        <is>
          <t>TR 1</t>
        </is>
      </c>
      <c r="M13" s="38" t="inlineStr">
        <is>
          <t>--</t>
        </is>
      </c>
      <c r="N13" s="38" t="inlineStr">
        <is>
          <t>--</t>
        </is>
      </c>
      <c r="O13" s="38" t="inlineStr">
        <is>
          <t>JJH</t>
        </is>
      </c>
      <c r="Q13" s="62">
        <f>IF(C13="Yes", 1, IF(C13="no", 0, IF(C13= "tardy", SUM(J13/I13),"")))</f>
        <v/>
      </c>
      <c r="R13" s="62">
        <f>LEFT(Train_Log[[#This Row],[COURSE NAME:]],FIND(" - ", Train_Log[[#This Row],[COURSE NAME:]]) -1)</f>
        <v/>
      </c>
      <c r="S13" s="62">
        <f>MID(Train_Log[[#This Row],[COURSE NAME:]],FIND(" - ", Train_Log[[#This Row],[COURSE NAME:]]), 13)</f>
        <v/>
      </c>
      <c r="T13" s="62">
        <f>MID(E13, FIND(" - ", E13) + 3, LEN(E13)) &amp; "_" &amp; TEXT(F13, "yyyymmdd") &amp; "_" &amp; TEXT(H13, "yyyymmdd")</f>
        <v/>
      </c>
    </row>
    <row r="14">
      <c r="B14" s="38" t="inlineStr">
        <is>
          <t>EE100</t>
        </is>
      </c>
      <c r="C14" s="38" t="inlineStr">
        <is>
          <t>No</t>
        </is>
      </c>
      <c r="D14" s="39" t="inlineStr">
        <is>
          <t>5360140</t>
        </is>
      </c>
      <c r="E14" s="38" t="inlineStr">
        <is>
          <t>RTR - EFORM SEPARATIONS TRAINING</t>
        </is>
      </c>
      <c r="F14" s="44" t="n">
        <v>45764</v>
      </c>
      <c r="G14" s="40" t="n">
        <v>45764</v>
      </c>
      <c r="H14" s="44" t="n">
        <v>45764</v>
      </c>
      <c r="I14" s="41" t="n">
        <v>8</v>
      </c>
      <c r="J14" s="42" t="n">
        <v>8</v>
      </c>
      <c r="K14" s="38" t="inlineStr">
        <is>
          <t>TR 8</t>
        </is>
      </c>
      <c r="L14" s="38" t="inlineStr">
        <is>
          <t>TR 3</t>
        </is>
      </c>
      <c r="M14" s="38" t="inlineStr">
        <is>
          <t>--</t>
        </is>
      </c>
      <c r="N14" s="38" t="inlineStr">
        <is>
          <t>--</t>
        </is>
      </c>
      <c r="O14" s="38" t="inlineStr">
        <is>
          <t>JJH</t>
        </is>
      </c>
      <c r="Q14" s="62">
        <f>IF(C14="Yes", 1, IF(C14="no", 0, IF(C14= "tardy", SUM(J14/I14),"")))</f>
        <v/>
      </c>
      <c r="R14" s="62">
        <f>LEFT(Train_Log[[#This Row],[COURSE NAME:]],FIND(" - ", Train_Log[[#This Row],[COURSE NAME:]]) -1)</f>
        <v/>
      </c>
      <c r="S14" s="62">
        <f>MID(Train_Log[[#This Row],[COURSE NAME:]],FIND(" - ", Train_Log[[#This Row],[COURSE NAME:]]), 13)</f>
        <v/>
      </c>
      <c r="T14" s="62">
        <f>MID(E14, FIND(" - ", E14) + 3, LEN(E14)) &amp; "_" &amp; TEXT(F14, "yyyymmdd") &amp; "_" &amp; TEXT(H14, "yyyymmdd")</f>
        <v/>
      </c>
    </row>
    <row r="15">
      <c r="B15" s="38" t="inlineStr">
        <is>
          <t>EE49</t>
        </is>
      </c>
      <c r="C15" s="38" t="inlineStr">
        <is>
          <t>No</t>
        </is>
      </c>
      <c r="D15" t="inlineStr">
        <is>
          <t>4182244</t>
        </is>
      </c>
      <c r="E15" s="38" t="inlineStr">
        <is>
          <t>RTR - EFORM SEPARATIONS TRAINING</t>
        </is>
      </c>
      <c r="F15" s="40" t="n">
        <v>45521</v>
      </c>
      <c r="G15" s="40" t="n">
        <v>45521</v>
      </c>
      <c r="H15" s="40" t="n">
        <v>45521</v>
      </c>
      <c r="I15" s="41" t="n">
        <v>8</v>
      </c>
      <c r="J15" s="41" t="n">
        <v>8</v>
      </c>
      <c r="K15" s="38" t="inlineStr">
        <is>
          <t>TR 1</t>
        </is>
      </c>
      <c r="L15" s="38" t="inlineStr">
        <is>
          <t>TR 6</t>
        </is>
      </c>
      <c r="M15" s="38" t="inlineStr">
        <is>
          <t>--</t>
        </is>
      </c>
      <c r="N15" s="38" t="inlineStr">
        <is>
          <t>--</t>
        </is>
      </c>
      <c r="O15" s="38" t="inlineStr">
        <is>
          <t>JJH</t>
        </is>
      </c>
      <c r="Q15" s="62">
        <f>IF(C15="Yes", 1, IF(C15="no", 0, IF(C15= "tardy", SUM(J15/I15),"")))</f>
        <v/>
      </c>
      <c r="R15" s="62">
        <f>LEFT(Train_Log[[#This Row],[COURSE NAME:]],FIND(" - ", Train_Log[[#This Row],[COURSE NAME:]]) -1)</f>
        <v/>
      </c>
      <c r="S15" s="62">
        <f>MID(Train_Log[[#This Row],[COURSE NAME:]],FIND(" - ", Train_Log[[#This Row],[COURSE NAME:]]), 13)</f>
        <v/>
      </c>
      <c r="T15" s="62">
        <f>MID(E15, FIND(" - ", E15) + 3, LEN(E15)) &amp; "_" &amp; TEXT(F15, "yyyymmdd") &amp; "_" &amp; TEXT(H15, "yyyymmdd")</f>
        <v/>
      </c>
    </row>
    <row r="16">
      <c r="B16" s="38" t="inlineStr">
        <is>
          <t>EE15</t>
        </is>
      </c>
      <c r="C16" s="38" t="inlineStr">
        <is>
          <t>No</t>
        </is>
      </c>
      <c r="D16" t="inlineStr">
        <is>
          <t>4124978</t>
        </is>
      </c>
      <c r="E16" s="38" t="inlineStr">
        <is>
          <t>PHONES - BENEFITS</t>
        </is>
      </c>
      <c r="F16" s="40" t="n">
        <v>45787</v>
      </c>
      <c r="G16" s="40" t="n">
        <v>45789</v>
      </c>
      <c r="H16" s="40" t="n">
        <v>45789</v>
      </c>
      <c r="I16" s="41" t="n">
        <v>8</v>
      </c>
      <c r="J16" s="41" t="n">
        <v>8</v>
      </c>
      <c r="K16" s="38" t="inlineStr">
        <is>
          <t>TR 3</t>
        </is>
      </c>
      <c r="L16" s="38" t="inlineStr">
        <is>
          <t>TR 1</t>
        </is>
      </c>
      <c r="M16" s="38" t="inlineStr">
        <is>
          <t>--</t>
        </is>
      </c>
      <c r="N16" s="38" t="inlineStr">
        <is>
          <t>--</t>
        </is>
      </c>
      <c r="O16" s="38" t="inlineStr">
        <is>
          <t>JJH</t>
        </is>
      </c>
      <c r="P16" s="50" t="n"/>
      <c r="Q16" s="62">
        <f>IF(C16="Yes", 1, IF(C16="no", 0, IF(C16= "tardy", SUM(J16/I16),"")))</f>
        <v/>
      </c>
      <c r="R16" s="62">
        <f>LEFT(Train_Log[[#This Row],[COURSE NAME:]],FIND(" - ", Train_Log[[#This Row],[COURSE NAME:]]) -1)</f>
        <v/>
      </c>
      <c r="S16" s="62">
        <f>MID(Train_Log[[#This Row],[COURSE NAME:]],FIND(" - ", Train_Log[[#This Row],[COURSE NAME:]]), 13)</f>
        <v/>
      </c>
      <c r="T16" s="62">
        <f>MID(E16, FIND(" - ", E16) + 3, LEN(E16)) &amp; "_" &amp; TEXT(F16, "yyyymmdd") &amp; "_" &amp; TEXT(H16, "yyyymmdd")</f>
        <v/>
      </c>
    </row>
    <row r="17">
      <c r="B17" s="38" t="inlineStr">
        <is>
          <t>EE131</t>
        </is>
      </c>
      <c r="C17" s="38" t="inlineStr">
        <is>
          <t>No</t>
        </is>
      </c>
      <c r="D17" t="inlineStr">
        <is>
          <t>6137108</t>
        </is>
      </c>
      <c r="E17" s="38" t="inlineStr">
        <is>
          <t>PHONES - EMPLOYMENT VERIFICATION</t>
        </is>
      </c>
      <c r="F17" s="40" t="n">
        <v>45489</v>
      </c>
      <c r="G17" s="40" t="n">
        <v>45489</v>
      </c>
      <c r="H17" s="40" t="n">
        <v>45489</v>
      </c>
      <c r="I17" s="41" t="n">
        <v>2</v>
      </c>
      <c r="J17" s="41" t="n">
        <v>2</v>
      </c>
      <c r="K17" s="38" t="inlineStr">
        <is>
          <t>TR 7</t>
        </is>
      </c>
      <c r="L17" s="38" t="inlineStr">
        <is>
          <t>TR 2</t>
        </is>
      </c>
      <c r="M17" s="38" t="inlineStr">
        <is>
          <t>--</t>
        </is>
      </c>
      <c r="N17" s="38" t="inlineStr">
        <is>
          <t>--</t>
        </is>
      </c>
      <c r="O17" s="38" t="inlineStr">
        <is>
          <t>JJH</t>
        </is>
      </c>
      <c r="P17" s="50" t="n"/>
      <c r="Q17" s="62">
        <f>IF(C17="Yes", 1, IF(C17="no", 0, IF(C17= "tardy", SUM(J17/I17),"")))</f>
        <v/>
      </c>
      <c r="R17" s="62">
        <f>LEFT(Train_Log[[#This Row],[COURSE NAME:]],FIND(" - ", Train_Log[[#This Row],[COURSE NAME:]]) -1)</f>
        <v/>
      </c>
      <c r="S17" s="62">
        <f>MID(Train_Log[[#This Row],[COURSE NAME:]],FIND(" - ", Train_Log[[#This Row],[COURSE NAME:]]), 13)</f>
        <v/>
      </c>
      <c r="T17" s="62">
        <f>MID(E17, FIND(" - ", E17) + 3, LEN(E17)) &amp; "_" &amp; TEXT(F17, "yyyymmdd") &amp; "_" &amp; TEXT(H17, "yyyymmdd")</f>
        <v/>
      </c>
    </row>
    <row r="18">
      <c r="B18" s="38" t="inlineStr">
        <is>
          <t>EE146</t>
        </is>
      </c>
      <c r="C18" s="38" t="inlineStr">
        <is>
          <t>No</t>
        </is>
      </c>
      <c r="D18" s="39" t="inlineStr">
        <is>
          <t>5963143</t>
        </is>
      </c>
      <c r="E18" s="38" t="inlineStr">
        <is>
          <t>SUPPORT - TRAINING - PTSP TRAINING</t>
        </is>
      </c>
      <c r="F18" s="40" t="n">
        <v>45339</v>
      </c>
      <c r="G18" s="40" t="n">
        <v>45341</v>
      </c>
      <c r="H18" s="40" t="n">
        <v>45341</v>
      </c>
      <c r="I18" s="41" t="n">
        <v>8</v>
      </c>
      <c r="J18" s="41" t="n">
        <v>8</v>
      </c>
      <c r="K18" s="38" t="inlineStr">
        <is>
          <t>TR 10</t>
        </is>
      </c>
      <c r="L18" s="38" t="inlineStr">
        <is>
          <t>TR 9</t>
        </is>
      </c>
      <c r="M18" s="38" t="inlineStr">
        <is>
          <t>--</t>
        </is>
      </c>
      <c r="N18" s="38" t="inlineStr">
        <is>
          <t>--</t>
        </is>
      </c>
      <c r="O18" s="38" t="inlineStr">
        <is>
          <t>JJH</t>
        </is>
      </c>
      <c r="P18" s="44" t="n"/>
      <c r="Q18" s="62">
        <f>IF(C18="Yes", 1, IF(C18="no", 0, IF(C18= "tardy", SUM(J18/I18),"")))</f>
        <v/>
      </c>
      <c r="R18" s="62">
        <f>LEFT(Train_Log[[#This Row],[COURSE NAME:]],FIND(" - ", Train_Log[[#This Row],[COURSE NAME:]]) -1)</f>
        <v/>
      </c>
      <c r="S18" s="62">
        <f>MID(Train_Log[[#This Row],[COURSE NAME:]],FIND(" - ", Train_Log[[#This Row],[COURSE NAME:]]), 13)</f>
        <v/>
      </c>
      <c r="T18" s="62">
        <f>MID(E18, FIND(" - ", E18) + 3, LEN(E18)) &amp; "_" &amp; TEXT(F18, "yyyymmdd") &amp; "_" &amp; TEXT(H18, "yyyymmdd")</f>
        <v/>
      </c>
    </row>
    <row r="19">
      <c r="B19" s="38" t="inlineStr">
        <is>
          <t>EE81</t>
        </is>
      </c>
      <c r="C19" s="38" t="inlineStr">
        <is>
          <t>No</t>
        </is>
      </c>
      <c r="D19" s="39" t="inlineStr">
        <is>
          <t>5119786</t>
        </is>
      </c>
      <c r="E19" s="38" t="inlineStr">
        <is>
          <t>RTR - EFORM SEPARATIONS TRAINING</t>
        </is>
      </c>
      <c r="F19" s="40" t="n">
        <v>45508</v>
      </c>
      <c r="G19" s="40" t="n">
        <v>45512</v>
      </c>
      <c r="H19" s="40" t="n">
        <v>45512</v>
      </c>
      <c r="I19" s="41" t="n">
        <v>2</v>
      </c>
      <c r="J19" s="49" t="n">
        <v>2</v>
      </c>
      <c r="K19" s="38" t="inlineStr">
        <is>
          <t>TR 5</t>
        </is>
      </c>
      <c r="L19" s="38" t="inlineStr">
        <is>
          <t>TR 7</t>
        </is>
      </c>
      <c r="M19" s="38" t="inlineStr">
        <is>
          <t>--</t>
        </is>
      </c>
      <c r="N19" s="38" t="inlineStr">
        <is>
          <t>--</t>
        </is>
      </c>
      <c r="O19" s="38" t="inlineStr">
        <is>
          <t>JJH</t>
        </is>
      </c>
      <c r="P19" s="44" t="n"/>
      <c r="Q19" s="62">
        <f>IF(C19="Yes", 1, IF(C19="no", 0, IF(C19= "tardy", SUM(J19/I19),"")))</f>
        <v/>
      </c>
      <c r="R19" s="62">
        <f>LEFT(Train_Log[[#This Row],[COURSE NAME:]],FIND(" - ", Train_Log[[#This Row],[COURSE NAME:]]) -1)</f>
        <v/>
      </c>
      <c r="S19" s="62">
        <f>MID(Train_Log[[#This Row],[COURSE NAME:]],FIND(" - ", Train_Log[[#This Row],[COURSE NAME:]]), 13)</f>
        <v/>
      </c>
      <c r="T19" s="62">
        <f>MID(E19, FIND(" - ", E19) + 3, LEN(E19)) &amp; "_" &amp; TEXT(F19, "yyyymmdd") &amp; "_" &amp; TEXT(H19, "yyyymmdd")</f>
        <v/>
      </c>
    </row>
    <row r="20">
      <c r="B20" s="38" t="inlineStr">
        <is>
          <t>EE34</t>
        </is>
      </c>
      <c r="C20" s="38" t="inlineStr">
        <is>
          <t>No</t>
        </is>
      </c>
      <c r="D20" s="39" t="inlineStr">
        <is>
          <t>6928208</t>
        </is>
      </c>
      <c r="E20" s="38" t="inlineStr">
        <is>
          <t>RTR - EFORM SEPARATIONS TRAINING</t>
        </is>
      </c>
      <c r="F20" s="40" t="n">
        <v>45767</v>
      </c>
      <c r="G20" s="40" t="n">
        <v>45767</v>
      </c>
      <c r="H20" s="40" t="n">
        <v>45767</v>
      </c>
      <c r="I20" s="41" t="n">
        <v>2</v>
      </c>
      <c r="J20" s="41" t="n">
        <v>2</v>
      </c>
      <c r="K20" s="38" t="inlineStr">
        <is>
          <t>TR 1</t>
        </is>
      </c>
      <c r="L20" s="38" t="inlineStr">
        <is>
          <t>TR 8</t>
        </is>
      </c>
      <c r="M20" s="38" t="inlineStr">
        <is>
          <t>--</t>
        </is>
      </c>
      <c r="N20" s="38" t="inlineStr">
        <is>
          <t>--</t>
        </is>
      </c>
      <c r="O20" s="38" t="inlineStr">
        <is>
          <t>JJH</t>
        </is>
      </c>
      <c r="P20" s="59" t="n"/>
      <c r="Q20" s="62">
        <f>IF(C20="Yes", 1, IF(C20="no", 0, IF(C20= "tardy", SUM(J20/I20),"")))</f>
        <v/>
      </c>
      <c r="R20" s="62">
        <f>LEFT(Train_Log[[#This Row],[COURSE NAME:]],FIND(" - ", Train_Log[[#This Row],[COURSE NAME:]]) -1)</f>
        <v/>
      </c>
      <c r="S20" s="62">
        <f>MID(Train_Log[[#This Row],[COURSE NAME:]],FIND(" - ", Train_Log[[#This Row],[COURSE NAME:]]), 13)</f>
        <v/>
      </c>
      <c r="T20" s="62">
        <f>MID(E20, FIND(" - ", E20) + 3, LEN(E20)) &amp; "_" &amp; TEXT(F20, "yyyymmdd") &amp; "_" &amp; TEXT(H20, "yyyymmdd")</f>
        <v/>
      </c>
    </row>
    <row r="21">
      <c r="B21" s="38" t="inlineStr">
        <is>
          <t>EE160</t>
        </is>
      </c>
      <c r="C21" s="38" t="inlineStr">
        <is>
          <t>No</t>
        </is>
      </c>
      <c r="D21" s="39" t="inlineStr">
        <is>
          <t>5823537</t>
        </is>
      </c>
      <c r="E21" s="38" t="inlineStr">
        <is>
          <t>PHONES - EMPLOYMENT VERIFICATION</t>
        </is>
      </c>
      <c r="F21" s="40" t="n">
        <v>45374</v>
      </c>
      <c r="G21" s="40" t="n">
        <v>45376</v>
      </c>
      <c r="H21" s="40" t="n">
        <v>45376</v>
      </c>
      <c r="I21" s="41" t="n">
        <v>3</v>
      </c>
      <c r="J21" s="41" t="n">
        <v>3</v>
      </c>
      <c r="K21" s="38" t="inlineStr">
        <is>
          <t>TR 3</t>
        </is>
      </c>
      <c r="L21" s="38" t="inlineStr">
        <is>
          <t>TR 6</t>
        </is>
      </c>
      <c r="M21" s="38" t="inlineStr">
        <is>
          <t>--</t>
        </is>
      </c>
      <c r="N21" s="38" t="inlineStr">
        <is>
          <t>--</t>
        </is>
      </c>
      <c r="O21" s="38" t="inlineStr">
        <is>
          <t>JJH</t>
        </is>
      </c>
      <c r="P21" s="59" t="n"/>
      <c r="Q21" s="62">
        <f>IF(C21="Yes", 1, IF(C21="no", 0, IF(C21= "tardy", SUM(J21/I21),"")))</f>
        <v/>
      </c>
      <c r="R21" s="62">
        <f>LEFT(Train_Log[[#This Row],[COURSE NAME:]],FIND(" - ", Train_Log[[#This Row],[COURSE NAME:]]) -1)</f>
        <v/>
      </c>
      <c r="S21" s="62">
        <f>MID(Train_Log[[#This Row],[COURSE NAME:]],FIND(" - ", Train_Log[[#This Row],[COURSE NAME:]]), 13)</f>
        <v/>
      </c>
      <c r="T21" s="62">
        <f>MID(E21, FIND(" - ", E21) + 3, LEN(E21)) &amp; "_" &amp; TEXT(F21, "yyyymmdd") &amp; "_" &amp; TEXT(H21, "yyyymmdd")</f>
        <v/>
      </c>
    </row>
    <row r="22">
      <c r="B22" s="38" t="inlineStr">
        <is>
          <t>EE18</t>
        </is>
      </c>
      <c r="C22" s="38" t="inlineStr">
        <is>
          <t>No</t>
        </is>
      </c>
      <c r="D22" s="39" t="inlineStr">
        <is>
          <t>4975850</t>
        </is>
      </c>
      <c r="E22" s="38" t="inlineStr">
        <is>
          <t>SUPPORT - TRAINING - PTSP TRAINING</t>
        </is>
      </c>
      <c r="F22" s="40" t="n">
        <v>45677</v>
      </c>
      <c r="G22" s="40" t="n">
        <v>45677</v>
      </c>
      <c r="H22" s="40" t="n">
        <v>45677</v>
      </c>
      <c r="I22" s="41" t="n">
        <v>8</v>
      </c>
      <c r="J22" s="49" t="n">
        <v>8</v>
      </c>
      <c r="K22" s="38" t="inlineStr">
        <is>
          <t>TR 5</t>
        </is>
      </c>
      <c r="L22" s="38" t="inlineStr">
        <is>
          <t>TR 10</t>
        </is>
      </c>
      <c r="M22" s="38" t="inlineStr">
        <is>
          <t>--</t>
        </is>
      </c>
      <c r="N22" s="38" t="inlineStr">
        <is>
          <t>--</t>
        </is>
      </c>
      <c r="O22" s="38" t="inlineStr">
        <is>
          <t>JJH</t>
        </is>
      </c>
      <c r="P22" s="59" t="n"/>
      <c r="Q22" s="62">
        <f>IF(C22="Yes", 1, IF(C22="no", 0, IF(C22= "tardy", SUM(J22/I22),"")))</f>
        <v/>
      </c>
      <c r="R22" s="62">
        <f>LEFT(Train_Log[[#This Row],[COURSE NAME:]],FIND(" - ", Train_Log[[#This Row],[COURSE NAME:]]) -1)</f>
        <v/>
      </c>
      <c r="S22" s="62">
        <f>MID(Train_Log[[#This Row],[COURSE NAME:]],FIND(" - ", Train_Log[[#This Row],[COURSE NAME:]]), 13)</f>
        <v/>
      </c>
      <c r="T22" s="62">
        <f>MID(E22, FIND(" - ", E22) + 3, LEN(E22)) &amp; "_" &amp; TEXT(F22, "yyyymmdd") &amp; "_" &amp; TEXT(H22, "yyyymmdd")</f>
        <v/>
      </c>
    </row>
    <row r="23">
      <c r="B23" s="38" t="inlineStr">
        <is>
          <t>EE168</t>
        </is>
      </c>
      <c r="C23" s="38" t="inlineStr">
        <is>
          <t>No</t>
        </is>
      </c>
      <c r="D23" s="39" t="inlineStr">
        <is>
          <t>4446319</t>
        </is>
      </c>
      <c r="E23" s="38" t="inlineStr">
        <is>
          <t>PHONES - BENEFITS</t>
        </is>
      </c>
      <c r="F23" s="40" t="n">
        <v>45605</v>
      </c>
      <c r="G23" s="40" t="n">
        <v>45609</v>
      </c>
      <c r="H23" s="40" t="n">
        <v>45609</v>
      </c>
      <c r="I23" s="41" t="n">
        <v>2</v>
      </c>
      <c r="J23" s="41" t="n">
        <v>2</v>
      </c>
      <c r="K23" s="38" t="inlineStr">
        <is>
          <t>TR 5</t>
        </is>
      </c>
      <c r="L23" s="38" t="inlineStr">
        <is>
          <t>TR 2</t>
        </is>
      </c>
      <c r="M23" s="38" t="inlineStr">
        <is>
          <t>--</t>
        </is>
      </c>
      <c r="N23" s="38" t="inlineStr">
        <is>
          <t>--</t>
        </is>
      </c>
      <c r="O23" s="38" t="inlineStr">
        <is>
          <t>JJH</t>
        </is>
      </c>
      <c r="P23" s="59" t="n"/>
      <c r="Q23" s="62">
        <f>IF(C23="Yes", 1, IF(C23="no", 0, IF(C23= "tardy", SUM(J23/I23),"")))</f>
        <v/>
      </c>
      <c r="R23" s="62">
        <f>LEFT(Train_Log[[#This Row],[COURSE NAME:]],FIND(" - ", Train_Log[[#This Row],[COURSE NAME:]]) -1)</f>
        <v/>
      </c>
      <c r="S23" s="62">
        <f>MID(Train_Log[[#This Row],[COURSE NAME:]],FIND(" - ", Train_Log[[#This Row],[COURSE NAME:]]), 13)</f>
        <v/>
      </c>
      <c r="T23" s="62">
        <f>MID(E23, FIND(" - ", E23) + 3, LEN(E23)) &amp; "_" &amp; TEXT(F23, "yyyymmdd") &amp; "_" &amp; TEXT(H23, "yyyymmdd")</f>
        <v/>
      </c>
    </row>
    <row r="24">
      <c r="B24" s="38" t="inlineStr">
        <is>
          <t>EE28</t>
        </is>
      </c>
      <c r="C24" s="38" t="inlineStr">
        <is>
          <t>No</t>
        </is>
      </c>
      <c r="D24" s="39" t="inlineStr">
        <is>
          <t>4924594</t>
        </is>
      </c>
      <c r="E24" s="38" t="inlineStr">
        <is>
          <t>PHONES - LWOP</t>
        </is>
      </c>
      <c r="F24" s="44" t="n">
        <v>45577</v>
      </c>
      <c r="G24" s="40" t="n">
        <v>45577</v>
      </c>
      <c r="H24" s="44" t="n">
        <v>45577</v>
      </c>
      <c r="I24" s="41" t="n">
        <v>3</v>
      </c>
      <c r="J24" s="42" t="n">
        <v>3</v>
      </c>
      <c r="K24" s="38" t="inlineStr">
        <is>
          <t>TR 4</t>
        </is>
      </c>
      <c r="L24" s="38" t="inlineStr">
        <is>
          <t>--</t>
        </is>
      </c>
      <c r="M24" s="38" t="inlineStr">
        <is>
          <t>--</t>
        </is>
      </c>
      <c r="N24" s="38" t="inlineStr">
        <is>
          <t>--</t>
        </is>
      </c>
      <c r="O24" s="38" t="inlineStr">
        <is>
          <t>JJH</t>
        </is>
      </c>
      <c r="Q24" s="62">
        <f>IF(C24="Yes", 1, IF(C24="no", 0, IF(C24= "tardy", SUM(J24/I24),"")))</f>
        <v/>
      </c>
      <c r="R24" s="62">
        <f>LEFT(Train_Log[[#This Row],[COURSE NAME:]],FIND(" - ", Train_Log[[#This Row],[COURSE NAME:]]) -1)</f>
        <v/>
      </c>
      <c r="S24" s="62">
        <f>MID(Train_Log[[#This Row],[COURSE NAME:]],FIND(" - ", Train_Log[[#This Row],[COURSE NAME:]]), 13)</f>
        <v/>
      </c>
      <c r="T24" s="62">
        <f>MID(E24, FIND(" - ", E24) + 3, LEN(E24)) &amp; "_" &amp; TEXT(F24, "yyyymmdd") &amp; "_" &amp; TEXT(H24, "yyyymmdd")</f>
        <v/>
      </c>
    </row>
    <row r="25">
      <c r="B25" s="38" t="inlineStr">
        <is>
          <t>EE163</t>
        </is>
      </c>
      <c r="C25" s="38" t="inlineStr">
        <is>
          <t>No</t>
        </is>
      </c>
      <c r="D25" s="39" t="inlineStr">
        <is>
          <t>4013611</t>
        </is>
      </c>
      <c r="E25" s="38" t="inlineStr">
        <is>
          <t>RTR - EFORM SEPARATIONS TRAINING</t>
        </is>
      </c>
      <c r="F25" s="44" t="n">
        <v>45816</v>
      </c>
      <c r="G25" s="40" t="n">
        <v>45817</v>
      </c>
      <c r="H25" s="44" t="n">
        <v>45817</v>
      </c>
      <c r="I25" s="41" t="n">
        <v>2</v>
      </c>
      <c r="J25" s="42" t="n">
        <v>2</v>
      </c>
      <c r="K25" s="38" t="inlineStr">
        <is>
          <t>TR 2</t>
        </is>
      </c>
      <c r="L25" s="38" t="inlineStr">
        <is>
          <t>--</t>
        </is>
      </c>
      <c r="M25" s="38" t="inlineStr">
        <is>
          <t>--</t>
        </is>
      </c>
      <c r="N25" s="38" t="inlineStr">
        <is>
          <t>--</t>
        </is>
      </c>
      <c r="O25" s="38" t="inlineStr">
        <is>
          <t>JJH</t>
        </is>
      </c>
      <c r="Q25" s="62">
        <f>IF(C25="Yes", 1, IF(C25="no", 0, IF(C25= "tardy", SUM(J25/I25),"")))</f>
        <v/>
      </c>
      <c r="R25" s="62">
        <f>LEFT(Train_Log[[#This Row],[COURSE NAME:]],FIND(" - ", Train_Log[[#This Row],[COURSE NAME:]]) -1)</f>
        <v/>
      </c>
      <c r="S25" s="62">
        <f>MID(Train_Log[[#This Row],[COURSE NAME:]],FIND(" - ", Train_Log[[#This Row],[COURSE NAME:]]), 13)</f>
        <v/>
      </c>
      <c r="T25" s="62">
        <f>MID(E25, FIND(" - ", E25) + 3, LEN(E25)) &amp; "_" &amp; TEXT(F25, "yyyymmdd") &amp; "_" &amp; TEXT(H25, "yyyymmdd")</f>
        <v/>
      </c>
    </row>
    <row r="26">
      <c r="B26" s="38" t="inlineStr">
        <is>
          <t>EE109</t>
        </is>
      </c>
      <c r="C26" s="38" t="inlineStr">
        <is>
          <t>No</t>
        </is>
      </c>
      <c r="D26" s="39" t="inlineStr">
        <is>
          <t>6378925</t>
        </is>
      </c>
      <c r="E26" s="38" t="inlineStr">
        <is>
          <t>RTR - EFORM SEPARATIONS TRAINING</t>
        </is>
      </c>
      <c r="F26" s="44" t="n">
        <v>45344</v>
      </c>
      <c r="G26" s="40" t="n">
        <v>45344</v>
      </c>
      <c r="H26" s="44" t="n">
        <v>45344</v>
      </c>
      <c r="I26" s="41" t="n">
        <v>2</v>
      </c>
      <c r="J26" s="42" t="n">
        <v>2</v>
      </c>
      <c r="K26" s="38" t="inlineStr">
        <is>
          <t>TR 5</t>
        </is>
      </c>
      <c r="L26" s="38" t="inlineStr">
        <is>
          <t>TR 3</t>
        </is>
      </c>
      <c r="M26" s="38" t="inlineStr">
        <is>
          <t>--</t>
        </is>
      </c>
      <c r="N26" s="38" t="inlineStr">
        <is>
          <t>--</t>
        </is>
      </c>
      <c r="O26" s="38" t="inlineStr">
        <is>
          <t>JJH</t>
        </is>
      </c>
      <c r="Q26" s="62">
        <f>IF(C26="Yes", 1, IF(C26="no", 0, IF(C26= "tardy", SUM(J26/I26),"")))</f>
        <v/>
      </c>
      <c r="R26" s="62">
        <f>LEFT(Train_Log[[#This Row],[COURSE NAME:]],FIND(" - ", Train_Log[[#This Row],[COURSE NAME:]]) -1)</f>
        <v/>
      </c>
      <c r="S26" s="62">
        <f>MID(Train_Log[[#This Row],[COURSE NAME:]],FIND(" - ", Train_Log[[#This Row],[COURSE NAME:]]), 13)</f>
        <v/>
      </c>
      <c r="T26" s="62">
        <f>MID(E26, FIND(" - ", E26) + 3, LEN(E26)) &amp; "_" &amp; TEXT(F26, "yyyymmdd") &amp; "_" &amp; TEXT(H26, "yyyymmdd")</f>
        <v/>
      </c>
    </row>
    <row r="27">
      <c r="B27" s="38" t="inlineStr">
        <is>
          <t>EE190</t>
        </is>
      </c>
      <c r="C27" s="38" t="inlineStr">
        <is>
          <t>Yes</t>
        </is>
      </c>
      <c r="D27" s="39" t="inlineStr">
        <is>
          <t>5010288</t>
        </is>
      </c>
      <c r="E27" s="38" t="inlineStr">
        <is>
          <t>OPTIONAL RETIREMENTS - MAILBUILD</t>
        </is>
      </c>
      <c r="F27" s="44" t="n">
        <v>45736</v>
      </c>
      <c r="G27" s="40" t="n">
        <v>45738</v>
      </c>
      <c r="H27" s="44" t="n">
        <v>45738</v>
      </c>
      <c r="I27" s="41" t="n">
        <v>2</v>
      </c>
      <c r="J27" s="42" t="n">
        <v>0</v>
      </c>
      <c r="K27" s="38" t="inlineStr">
        <is>
          <t>TR 3</t>
        </is>
      </c>
      <c r="L27" s="38" t="inlineStr">
        <is>
          <t>TR 9</t>
        </is>
      </c>
      <c r="M27" s="38" t="inlineStr">
        <is>
          <t>--</t>
        </is>
      </c>
      <c r="N27" s="38" t="inlineStr">
        <is>
          <t>--</t>
        </is>
      </c>
      <c r="O27" s="38" t="inlineStr">
        <is>
          <t>JJH</t>
        </is>
      </c>
      <c r="Q27" s="62">
        <f>IF(C27="Yes", 1, IF(C27="no", 0, IF(C27= "tardy", SUM(J27/I27),"")))</f>
        <v/>
      </c>
      <c r="R27" s="62">
        <f>LEFT(Train_Log[[#This Row],[COURSE NAME:]],FIND(" - ", Train_Log[[#This Row],[COURSE NAME:]]) -1)</f>
        <v/>
      </c>
      <c r="S27" s="62">
        <f>MID(Train_Log[[#This Row],[COURSE NAME:]],FIND(" - ", Train_Log[[#This Row],[COURSE NAME:]]), 13)</f>
        <v/>
      </c>
      <c r="T27" s="62">
        <f>MID(E27, FIND(" - ", E27) + 3, LEN(E27)) &amp; "_" &amp; TEXT(F27, "yyyymmdd") &amp; "_" &amp; TEXT(H27, "yyyymmdd")</f>
        <v/>
      </c>
    </row>
    <row r="28">
      <c r="B28" s="38" t="inlineStr">
        <is>
          <t>EE10</t>
        </is>
      </c>
      <c r="C28" s="38" t="inlineStr">
        <is>
          <t>No</t>
        </is>
      </c>
      <c r="D28" s="39" t="inlineStr">
        <is>
          <t>6287433</t>
        </is>
      </c>
      <c r="E28" s="38" t="inlineStr">
        <is>
          <t>LWOP - HCES SUPERUSER TRAINING</t>
        </is>
      </c>
      <c r="F28" s="44" t="n">
        <v>45450</v>
      </c>
      <c r="G28" s="40" t="n">
        <v>45451</v>
      </c>
      <c r="H28" s="44" t="n">
        <v>45451</v>
      </c>
      <c r="I28" s="41" t="n">
        <v>3</v>
      </c>
      <c r="J28" s="42" t="n">
        <v>3</v>
      </c>
      <c r="K28" s="38" t="inlineStr">
        <is>
          <t>TR 6</t>
        </is>
      </c>
      <c r="L28" s="38" t="inlineStr">
        <is>
          <t>TR 1</t>
        </is>
      </c>
      <c r="M28" s="38" t="inlineStr">
        <is>
          <t>--</t>
        </is>
      </c>
      <c r="N28" s="38" t="inlineStr">
        <is>
          <t>--</t>
        </is>
      </c>
      <c r="O28" s="38" t="inlineStr">
        <is>
          <t>JJH</t>
        </is>
      </c>
      <c r="Q28" s="62">
        <f>IF(C28="Yes", 1, IF(C28="no", 0, IF(C28= "tardy", SUM(J28/I28),"")))</f>
        <v/>
      </c>
      <c r="R28" s="62">
        <f>LEFT(Train_Log[[#This Row],[COURSE NAME:]],FIND(" - ", Train_Log[[#This Row],[COURSE NAME:]]) -1)</f>
        <v/>
      </c>
      <c r="S28" s="62">
        <f>MID(Train_Log[[#This Row],[COURSE NAME:]],FIND(" - ", Train_Log[[#This Row],[COURSE NAME:]]), 13)</f>
        <v/>
      </c>
      <c r="T28" s="62">
        <f>MID(E28, FIND(" - ", E28) + 3, LEN(E28)) &amp; "_" &amp; TEXT(F28, "yyyymmdd") &amp; "_" &amp; TEXT(H28, "yyyymmdd")</f>
        <v/>
      </c>
    </row>
    <row r="29">
      <c r="B29" s="38" t="inlineStr">
        <is>
          <t>EE92</t>
        </is>
      </c>
      <c r="C29" s="38" t="inlineStr">
        <is>
          <t>No</t>
        </is>
      </c>
      <c r="D29" s="39" t="inlineStr">
        <is>
          <t>5938859</t>
        </is>
      </c>
      <c r="E29" s="38" t="inlineStr">
        <is>
          <t>SUPPORT - TRAINING - PTSP TRAINING</t>
        </is>
      </c>
      <c r="F29" s="44" t="n">
        <v>45554</v>
      </c>
      <c r="G29" s="40" t="n">
        <v>45558</v>
      </c>
      <c r="H29" s="44" t="n">
        <v>45558</v>
      </c>
      <c r="I29" s="41" t="n">
        <v>8</v>
      </c>
      <c r="J29" s="42" t="n">
        <v>8</v>
      </c>
      <c r="K29" s="38" t="inlineStr">
        <is>
          <t>TR 7</t>
        </is>
      </c>
      <c r="L29" s="38" t="inlineStr">
        <is>
          <t>TR 10</t>
        </is>
      </c>
      <c r="M29" s="38" t="inlineStr">
        <is>
          <t>--</t>
        </is>
      </c>
      <c r="N29" s="38" t="inlineStr">
        <is>
          <t>--</t>
        </is>
      </c>
      <c r="O29" s="38" t="inlineStr">
        <is>
          <t>JJH</t>
        </is>
      </c>
      <c r="Q29" s="62">
        <f>IF(C29="Yes", 1, IF(C29="no", 0, IF(C29= "tardy", SUM(J29/I29),"")))</f>
        <v/>
      </c>
      <c r="R29" s="62">
        <f>LEFT(Train_Log[[#This Row],[COURSE NAME:]],FIND(" - ", Train_Log[[#This Row],[COURSE NAME:]]) -1)</f>
        <v/>
      </c>
      <c r="S29" s="62">
        <f>MID(Train_Log[[#This Row],[COURSE NAME:]],FIND(" - ", Train_Log[[#This Row],[COURSE NAME:]]), 13)</f>
        <v/>
      </c>
      <c r="T29" s="62">
        <f>MID(E29, FIND(" - ", E29) + 3, LEN(E29)) &amp; "_" &amp; TEXT(F29, "yyyymmdd") &amp; "_" &amp; TEXT(H29, "yyyymmdd")</f>
        <v/>
      </c>
    </row>
    <row r="30">
      <c r="B30" s="38" t="inlineStr">
        <is>
          <t>EE40</t>
        </is>
      </c>
      <c r="C30" s="38" t="inlineStr">
        <is>
          <t>No</t>
        </is>
      </c>
      <c r="D30" s="39" t="inlineStr">
        <is>
          <t>5411779</t>
        </is>
      </c>
      <c r="E30" s="38" t="inlineStr">
        <is>
          <t>SUPPORT - TRAINING - PTSP TRAINING</t>
        </is>
      </c>
      <c r="F30" s="44" t="n">
        <v>45465</v>
      </c>
      <c r="G30" s="40" t="n">
        <v>45465</v>
      </c>
      <c r="H30" s="44" t="n">
        <v>45465</v>
      </c>
      <c r="I30" s="41" t="n">
        <v>2</v>
      </c>
      <c r="J30" s="42" t="n">
        <v>2</v>
      </c>
      <c r="K30" s="38" t="inlineStr">
        <is>
          <t>TR 3</t>
        </is>
      </c>
      <c r="L30" s="38" t="inlineStr">
        <is>
          <t>TR 6</t>
        </is>
      </c>
      <c r="M30" s="38" t="inlineStr">
        <is>
          <t>--</t>
        </is>
      </c>
      <c r="N30" s="38" t="inlineStr">
        <is>
          <t>--</t>
        </is>
      </c>
      <c r="O30" s="38" t="inlineStr">
        <is>
          <t>JJH</t>
        </is>
      </c>
      <c r="Q30" s="62">
        <f>IF(C30="Yes", 1, IF(C30="no", 0, IF(C30= "tardy", SUM(J30/I30),"")))</f>
        <v/>
      </c>
      <c r="R30" s="62">
        <f>LEFT(Train_Log[[#This Row],[COURSE NAME:]],FIND(" - ", Train_Log[[#This Row],[COURSE NAME:]]) -1)</f>
        <v/>
      </c>
      <c r="S30" s="62">
        <f>MID(Train_Log[[#This Row],[COURSE NAME:]],FIND(" - ", Train_Log[[#This Row],[COURSE NAME:]]), 13)</f>
        <v/>
      </c>
      <c r="T30" s="62">
        <f>MID(E30, FIND(" - ", E30) + 3, LEN(E30)) &amp; "_" &amp; TEXT(F30, "yyyymmdd") &amp; "_" &amp; TEXT(H30, "yyyymmdd")</f>
        <v/>
      </c>
    </row>
    <row r="31">
      <c r="B31" s="38" t="inlineStr">
        <is>
          <t>EE106</t>
        </is>
      </c>
      <c r="C31" s="38" t="inlineStr">
        <is>
          <t>No</t>
        </is>
      </c>
      <c r="D31" s="39" t="inlineStr">
        <is>
          <t>5122986</t>
        </is>
      </c>
      <c r="E31" s="38" t="inlineStr">
        <is>
          <t>SUPPORT - TRAINING - PTSP TRAINING</t>
        </is>
      </c>
      <c r="F31" s="44" t="n">
        <v>45572</v>
      </c>
      <c r="G31" s="40" t="n">
        <v>45572</v>
      </c>
      <c r="H31" s="44" t="n">
        <v>45572</v>
      </c>
      <c r="I31" s="41" t="n">
        <v>2</v>
      </c>
      <c r="J31" s="42" t="n">
        <v>2</v>
      </c>
      <c r="K31" s="38" t="inlineStr">
        <is>
          <t>TR 7</t>
        </is>
      </c>
      <c r="L31" s="38" t="inlineStr">
        <is>
          <t>TR 1</t>
        </is>
      </c>
      <c r="M31" s="38" t="inlineStr">
        <is>
          <t>--</t>
        </is>
      </c>
      <c r="N31" s="38" t="inlineStr">
        <is>
          <t>--</t>
        </is>
      </c>
      <c r="O31" s="38" t="inlineStr">
        <is>
          <t>JJH</t>
        </is>
      </c>
      <c r="Q31" s="62">
        <f>IF(C31="Yes", 1, IF(C31="no", 0, IF(C31= "tardy", SUM(J31/I31),"")))</f>
        <v/>
      </c>
      <c r="R31" s="62">
        <f>LEFT(Train_Log[[#This Row],[COURSE NAME:]],FIND(" - ", Train_Log[[#This Row],[COURSE NAME:]]) -1)</f>
        <v/>
      </c>
      <c r="S31" s="62">
        <f>MID(Train_Log[[#This Row],[COURSE NAME:]],FIND(" - ", Train_Log[[#This Row],[COURSE NAME:]]), 13)</f>
        <v/>
      </c>
      <c r="T31" s="62">
        <f>MID(E31, FIND(" - ", E31) + 3, LEN(E31)) &amp; "_" &amp; TEXT(F31, "yyyymmdd") &amp; "_" &amp; TEXT(H31, "yyyymmdd")</f>
        <v/>
      </c>
    </row>
    <row r="32">
      <c r="B32" s="38" t="inlineStr">
        <is>
          <t>EE121</t>
        </is>
      </c>
      <c r="C32" s="38" t="inlineStr">
        <is>
          <t>No</t>
        </is>
      </c>
      <c r="D32" s="39" t="inlineStr">
        <is>
          <t>6354548</t>
        </is>
      </c>
      <c r="E32" s="38" t="inlineStr">
        <is>
          <t>SUPPORT - TRAINING - PTSP TRAINING</t>
        </is>
      </c>
      <c r="F32" s="44" t="n">
        <v>45503</v>
      </c>
      <c r="G32" s="40" t="n">
        <v>45504</v>
      </c>
      <c r="H32" s="44" t="n">
        <v>45504</v>
      </c>
      <c r="I32" s="41" t="n">
        <v>2</v>
      </c>
      <c r="J32" s="42" t="n">
        <v>2</v>
      </c>
      <c r="K32" s="38" t="inlineStr">
        <is>
          <t>TR 4</t>
        </is>
      </c>
      <c r="L32" s="38" t="inlineStr">
        <is>
          <t>TR 1</t>
        </is>
      </c>
      <c r="M32" s="38" t="inlineStr">
        <is>
          <t>--</t>
        </is>
      </c>
      <c r="N32" s="38" t="inlineStr">
        <is>
          <t>--</t>
        </is>
      </c>
      <c r="O32" s="38" t="inlineStr">
        <is>
          <t>JJH</t>
        </is>
      </c>
      <c r="Q32" s="62">
        <f>IF(C32="Yes", 1, IF(C32="no", 0, IF(C32= "tardy", SUM(J32/I32),"")))</f>
        <v/>
      </c>
      <c r="R32" s="62">
        <f>LEFT(Train_Log[[#This Row],[COURSE NAME:]],FIND(" - ", Train_Log[[#This Row],[COURSE NAME:]]) -1)</f>
        <v/>
      </c>
      <c r="S32" s="62">
        <f>MID(Train_Log[[#This Row],[COURSE NAME:]],FIND(" - ", Train_Log[[#This Row],[COURSE NAME:]]), 13)</f>
        <v/>
      </c>
      <c r="T32" s="62">
        <f>MID(E32, FIND(" - ", E32) + 3, LEN(E32)) &amp; "_" &amp; TEXT(F32, "yyyymmdd") &amp; "_" &amp; TEXT(H32, "yyyymmdd")</f>
        <v/>
      </c>
    </row>
    <row r="33">
      <c r="B33" s="38" t="inlineStr">
        <is>
          <t>EE169</t>
        </is>
      </c>
      <c r="C33" s="38" t="inlineStr">
        <is>
          <t>No</t>
        </is>
      </c>
      <c r="D33" s="39" t="inlineStr">
        <is>
          <t>6622699</t>
        </is>
      </c>
      <c r="E33" s="38" t="inlineStr">
        <is>
          <t>SUPPORT - TRAINING - PTSP TRAINING</t>
        </is>
      </c>
      <c r="F33" s="44" t="n">
        <v>45707</v>
      </c>
      <c r="G33" s="40" t="n">
        <v>45707</v>
      </c>
      <c r="H33" s="44" t="n">
        <v>45707</v>
      </c>
      <c r="I33" s="41" t="n">
        <v>2</v>
      </c>
      <c r="J33" s="42" t="n">
        <v>2</v>
      </c>
      <c r="K33" s="38" t="inlineStr">
        <is>
          <t>TR 5</t>
        </is>
      </c>
      <c r="L33" s="38" t="inlineStr">
        <is>
          <t>TR 6</t>
        </is>
      </c>
      <c r="M33" s="38" t="inlineStr">
        <is>
          <t>--</t>
        </is>
      </c>
      <c r="N33" s="38" t="inlineStr">
        <is>
          <t>--</t>
        </is>
      </c>
      <c r="O33" s="38" t="inlineStr">
        <is>
          <t>JJH</t>
        </is>
      </c>
      <c r="Q33" s="62">
        <f>IF(C33="Yes", 1, IF(C33="no", 0, IF(C33= "tardy", SUM(J33/I33),"")))</f>
        <v/>
      </c>
      <c r="R33" s="62">
        <f>LEFT(Train_Log[[#This Row],[COURSE NAME:]],FIND(" - ", Train_Log[[#This Row],[COURSE NAME:]]) -1)</f>
        <v/>
      </c>
      <c r="S33" s="62">
        <f>MID(Train_Log[[#This Row],[COURSE NAME:]],FIND(" - ", Train_Log[[#This Row],[COURSE NAME:]]), 13)</f>
        <v/>
      </c>
      <c r="T33" s="62">
        <f>MID(E33, FIND(" - ", E33) + 3, LEN(E33)) &amp; "_" &amp; TEXT(F33, "yyyymmdd") &amp; "_" &amp; TEXT(H33, "yyyymmdd")</f>
        <v/>
      </c>
    </row>
    <row r="34">
      <c r="B34" s="38" t="inlineStr">
        <is>
          <t>EE165</t>
        </is>
      </c>
      <c r="C34" s="38" t="inlineStr">
        <is>
          <t>No</t>
        </is>
      </c>
      <c r="D34" s="39" t="inlineStr">
        <is>
          <t>6099610</t>
        </is>
      </c>
      <c r="E34" s="38" t="inlineStr">
        <is>
          <t>LWOP - HCES SU FACILITATION TRAINING</t>
        </is>
      </c>
      <c r="F34" s="44" t="n">
        <v>45638</v>
      </c>
      <c r="G34" s="40" t="n">
        <v>45638</v>
      </c>
      <c r="H34" s="44" t="n">
        <v>45638</v>
      </c>
      <c r="I34" s="41" t="n">
        <v>3</v>
      </c>
      <c r="J34" s="42" t="n">
        <v>3</v>
      </c>
      <c r="K34" s="38" t="inlineStr">
        <is>
          <t>TR 3</t>
        </is>
      </c>
      <c r="L34" s="38" t="inlineStr">
        <is>
          <t>TR 10</t>
        </is>
      </c>
      <c r="M34" s="38" t="inlineStr">
        <is>
          <t>--</t>
        </is>
      </c>
      <c r="N34" s="38" t="inlineStr">
        <is>
          <t>--</t>
        </is>
      </c>
      <c r="O34" s="38" t="inlineStr">
        <is>
          <t>JJH</t>
        </is>
      </c>
      <c r="Q34" s="62">
        <f>IF(C34="Yes", 1, IF(C34="no", 0, IF(C34= "tardy", SUM(J34/I34),"")))</f>
        <v/>
      </c>
      <c r="R34" s="62">
        <f>LEFT(Train_Log[[#This Row],[COURSE NAME:]],FIND(" - ", Train_Log[[#This Row],[COURSE NAME:]]) -1)</f>
        <v/>
      </c>
      <c r="S34" s="62">
        <f>MID(Train_Log[[#This Row],[COURSE NAME:]],FIND(" - ", Train_Log[[#This Row],[COURSE NAME:]]), 13)</f>
        <v/>
      </c>
      <c r="T34" s="62">
        <f>MID(E34, FIND(" - ", E34) + 3, LEN(E34)) &amp; "_" &amp; TEXT(F34, "yyyymmdd") &amp; "_" &amp; TEXT(H34, "yyyymmdd")</f>
        <v/>
      </c>
    </row>
    <row r="35">
      <c r="B35" s="38" t="inlineStr">
        <is>
          <t>EE68</t>
        </is>
      </c>
      <c r="C35" s="38" t="inlineStr">
        <is>
          <t>No</t>
        </is>
      </c>
      <c r="D35" s="39" t="inlineStr">
        <is>
          <t>4334671</t>
        </is>
      </c>
      <c r="E35" s="38" t="inlineStr">
        <is>
          <t>PHONES - BENEFITS</t>
        </is>
      </c>
      <c r="F35" s="44" t="n">
        <v>45410</v>
      </c>
      <c r="G35" s="40" t="n">
        <v>45412</v>
      </c>
      <c r="H35" s="44" t="n">
        <v>45412</v>
      </c>
      <c r="I35" s="41" t="n">
        <v>3</v>
      </c>
      <c r="J35" s="42" t="n">
        <v>3</v>
      </c>
      <c r="K35" s="38" t="inlineStr">
        <is>
          <t>TR 7</t>
        </is>
      </c>
      <c r="L35" s="38" t="inlineStr">
        <is>
          <t>TR 10</t>
        </is>
      </c>
      <c r="M35" s="38" t="inlineStr">
        <is>
          <t>--</t>
        </is>
      </c>
      <c r="N35" s="38" t="inlineStr">
        <is>
          <t>--</t>
        </is>
      </c>
      <c r="O35" s="38" t="inlineStr">
        <is>
          <t>JJH</t>
        </is>
      </c>
      <c r="Q35" s="62">
        <f>IF(C35="Yes", 1, IF(C35="no", 0, IF(C35= "tardy", SUM(J35/I35),"")))</f>
        <v/>
      </c>
      <c r="R35" s="62">
        <f>LEFT(Train_Log[[#This Row],[COURSE NAME:]],FIND(" - ", Train_Log[[#This Row],[COURSE NAME:]]) -1)</f>
        <v/>
      </c>
      <c r="S35" s="62">
        <f>MID(Train_Log[[#This Row],[COURSE NAME:]],FIND(" - ", Train_Log[[#This Row],[COURSE NAME:]]), 13)</f>
        <v/>
      </c>
      <c r="T35" s="62">
        <f>MID(E35, FIND(" - ", E35) + 3, LEN(E35)) &amp; "_" &amp; TEXT(F35, "yyyymmdd") &amp; "_" &amp; TEXT(H35, "yyyymmdd")</f>
        <v/>
      </c>
    </row>
    <row r="36">
      <c r="B36" s="38" t="inlineStr">
        <is>
          <t>EE131</t>
        </is>
      </c>
      <c r="C36" s="38" t="inlineStr">
        <is>
          <t>No</t>
        </is>
      </c>
      <c r="D36" t="inlineStr">
        <is>
          <t>6137108</t>
        </is>
      </c>
      <c r="E36" s="38" t="inlineStr">
        <is>
          <t>PHONES - EMPLOYMENT VERIFICATION</t>
        </is>
      </c>
      <c r="F36" s="40" t="n">
        <v>45693</v>
      </c>
      <c r="G36" s="40" t="n">
        <v>45695</v>
      </c>
      <c r="H36" s="40" t="n">
        <v>45695</v>
      </c>
      <c r="I36" s="41" t="n">
        <v>2</v>
      </c>
      <c r="J36" s="41" t="n">
        <v>2</v>
      </c>
      <c r="K36" s="38" t="inlineStr">
        <is>
          <t>TR 7</t>
        </is>
      </c>
      <c r="L36" s="38" t="inlineStr">
        <is>
          <t>TR 1</t>
        </is>
      </c>
      <c r="M36" s="38" t="inlineStr">
        <is>
          <t>--</t>
        </is>
      </c>
      <c r="N36" s="38" t="inlineStr">
        <is>
          <t>--</t>
        </is>
      </c>
      <c r="O36" s="38" t="inlineStr">
        <is>
          <t>JJH</t>
        </is>
      </c>
      <c r="Q36" s="62">
        <f>IF(C36="Yes", 1, IF(C36="no", 0, IF(C36= "tardy", SUM(J36/I36),"")))</f>
        <v/>
      </c>
      <c r="R36" s="62">
        <f>LEFT(Train_Log[[#This Row],[COURSE NAME:]],FIND(" - ", Train_Log[[#This Row],[COURSE NAME:]]) -1)</f>
        <v/>
      </c>
      <c r="S36" s="62">
        <f>MID(Train_Log[[#This Row],[COURSE NAME:]],FIND(" - ", Train_Log[[#This Row],[COURSE NAME:]]), 13)</f>
        <v/>
      </c>
      <c r="T36" s="62">
        <f>MID(E36, FIND(" - ", E36) + 3, LEN(E36)) &amp; "_" &amp; TEXT(F36, "yyyymmdd") &amp; "_" &amp; TEXT(H36, "yyyymmdd")</f>
        <v/>
      </c>
    </row>
    <row r="37">
      <c r="B37" s="38" t="inlineStr">
        <is>
          <t>EE134</t>
        </is>
      </c>
      <c r="C37" s="38" t="inlineStr">
        <is>
          <t>tardy</t>
        </is>
      </c>
      <c r="D37" t="inlineStr">
        <is>
          <t>4197620</t>
        </is>
      </c>
      <c r="E37" s="38" t="inlineStr">
        <is>
          <t>SUPPORT - TRAINING - PTSP TRAINING</t>
        </is>
      </c>
      <c r="F37" s="40" t="n">
        <v>45671</v>
      </c>
      <c r="G37" s="40" t="n">
        <v>45672</v>
      </c>
      <c r="H37" s="40" t="n">
        <v>45672</v>
      </c>
      <c r="I37" s="41" t="n">
        <v>3</v>
      </c>
      <c r="J37" s="41" t="n">
        <v>2.25</v>
      </c>
      <c r="K37" s="38" t="inlineStr">
        <is>
          <t>TR 2</t>
        </is>
      </c>
      <c r="L37" s="38" t="inlineStr">
        <is>
          <t>TR 5</t>
        </is>
      </c>
      <c r="M37" s="38" t="inlineStr">
        <is>
          <t>--</t>
        </is>
      </c>
      <c r="N37" s="38" t="inlineStr">
        <is>
          <t>--</t>
        </is>
      </c>
      <c r="O37" s="38" t="inlineStr">
        <is>
          <t>JJH</t>
        </is>
      </c>
      <c r="P37" s="50" t="n"/>
      <c r="Q37" s="62">
        <f>IF(C37="Yes", 1, IF(C37="no", 0, IF(C37= "tardy", SUM(J37/I37),"")))</f>
        <v/>
      </c>
      <c r="R37" s="62">
        <f>LEFT(Train_Log[[#This Row],[COURSE NAME:]],FIND(" - ", Train_Log[[#This Row],[COURSE NAME:]]) -1)</f>
        <v/>
      </c>
      <c r="S37" s="62">
        <f>MID(Train_Log[[#This Row],[COURSE NAME:]],FIND(" - ", Train_Log[[#This Row],[COURSE NAME:]]), 13)</f>
        <v/>
      </c>
      <c r="T37" s="62">
        <f>MID(E37, FIND(" - ", E37) + 3, LEN(E37)) &amp; "_" &amp; TEXT(F37, "yyyymmdd") &amp; "_" &amp; TEXT(H37, "yyyymmdd")</f>
        <v/>
      </c>
    </row>
    <row r="38">
      <c r="B38" s="38" t="inlineStr">
        <is>
          <t>EE130</t>
        </is>
      </c>
      <c r="C38" s="38" t="inlineStr">
        <is>
          <t>No</t>
        </is>
      </c>
      <c r="D38" s="39" t="inlineStr">
        <is>
          <t>4580205</t>
        </is>
      </c>
      <c r="E38" s="38" t="inlineStr">
        <is>
          <t>RTR - EFORM SEPARATIONS TRAINING</t>
        </is>
      </c>
      <c r="F38" s="40" t="n">
        <v>45717</v>
      </c>
      <c r="G38" s="40" t="n">
        <v>45717</v>
      </c>
      <c r="H38" s="40" t="n">
        <v>45717</v>
      </c>
      <c r="I38" s="41" t="n">
        <v>3</v>
      </c>
      <c r="J38" s="41" t="n">
        <v>3</v>
      </c>
      <c r="K38" s="38" t="inlineStr">
        <is>
          <t>TR 9</t>
        </is>
      </c>
      <c r="L38" s="38" t="inlineStr">
        <is>
          <t>TR 3</t>
        </is>
      </c>
      <c r="M38" s="38" t="inlineStr">
        <is>
          <t>--</t>
        </is>
      </c>
      <c r="N38" s="38" t="inlineStr">
        <is>
          <t>--</t>
        </is>
      </c>
      <c r="O38" s="38" t="inlineStr">
        <is>
          <t>JJH</t>
        </is>
      </c>
      <c r="P38" s="44" t="n"/>
      <c r="Q38" s="62">
        <f>IF(C38="Yes", 1, IF(C38="no", 0, IF(C38= "tardy", SUM(J38/I38),"")))</f>
        <v/>
      </c>
      <c r="R38" s="62">
        <f>LEFT(Train_Log[[#This Row],[COURSE NAME:]],FIND(" - ", Train_Log[[#This Row],[COURSE NAME:]]) -1)</f>
        <v/>
      </c>
      <c r="S38" s="62">
        <f>MID(Train_Log[[#This Row],[COURSE NAME:]],FIND(" - ", Train_Log[[#This Row],[COURSE NAME:]]), 13)</f>
        <v/>
      </c>
      <c r="T38" s="62">
        <f>MID(E38, FIND(" - ", E38) + 3, LEN(E38)) &amp; "_" &amp; TEXT(F38, "yyyymmdd") &amp; "_" &amp; TEXT(H38, "yyyymmdd")</f>
        <v/>
      </c>
    </row>
    <row r="39">
      <c r="B39" s="38" t="inlineStr">
        <is>
          <t>EE50</t>
        </is>
      </c>
      <c r="C39" s="38" t="inlineStr">
        <is>
          <t>No</t>
        </is>
      </c>
      <c r="D39" s="39" t="inlineStr">
        <is>
          <t>5926967</t>
        </is>
      </c>
      <c r="E39" s="38" t="inlineStr">
        <is>
          <t>LWOP - HCES SU FACILITATION TRAINING</t>
        </is>
      </c>
      <c r="F39" s="40" t="n">
        <v>45687</v>
      </c>
      <c r="G39" s="40" t="n">
        <v>45691</v>
      </c>
      <c r="H39" s="40" t="n">
        <v>45691</v>
      </c>
      <c r="I39" s="41" t="n">
        <v>2</v>
      </c>
      <c r="J39" s="41" t="n">
        <v>2</v>
      </c>
      <c r="K39" s="38" t="inlineStr">
        <is>
          <t>TR 10</t>
        </is>
      </c>
      <c r="L39" s="38" t="inlineStr">
        <is>
          <t>TR 10</t>
        </is>
      </c>
      <c r="M39" s="38" t="inlineStr">
        <is>
          <t>--</t>
        </is>
      </c>
      <c r="N39" s="38" t="inlineStr">
        <is>
          <t>--</t>
        </is>
      </c>
      <c r="O39" s="38" t="inlineStr">
        <is>
          <t>JJH</t>
        </is>
      </c>
      <c r="P39" s="44" t="n"/>
      <c r="Q39" s="62">
        <f>IF(C39="Yes", 1, IF(C39="no", 0, IF(C39= "tardy", SUM(J39/I39),"")))</f>
        <v/>
      </c>
      <c r="R39" s="62">
        <f>LEFT(Train_Log[[#This Row],[COURSE NAME:]],FIND(" - ", Train_Log[[#This Row],[COURSE NAME:]]) -1)</f>
        <v/>
      </c>
      <c r="S39" s="62">
        <f>MID(Train_Log[[#This Row],[COURSE NAME:]],FIND(" - ", Train_Log[[#This Row],[COURSE NAME:]]), 13)</f>
        <v/>
      </c>
      <c r="T39" s="62">
        <f>MID(E39, FIND(" - ", E39) + 3, LEN(E39)) &amp; "_" &amp; TEXT(F39, "yyyymmdd") &amp; "_" &amp; TEXT(H39, "yyyymmdd")</f>
        <v/>
      </c>
    </row>
    <row r="40">
      <c r="B40" s="38" t="inlineStr">
        <is>
          <t>EE78</t>
        </is>
      </c>
      <c r="C40" s="38" t="inlineStr">
        <is>
          <t>No</t>
        </is>
      </c>
      <c r="D40" s="39" t="inlineStr">
        <is>
          <t>5490113</t>
        </is>
      </c>
      <c r="E40" s="38" t="inlineStr">
        <is>
          <t>LWOP - HCES SU FACILITATION TRAINING</t>
        </is>
      </c>
      <c r="F40" s="40" t="n">
        <v>45299</v>
      </c>
      <c r="G40" s="40" t="n">
        <v>45299</v>
      </c>
      <c r="H40" s="40" t="n">
        <v>45299</v>
      </c>
      <c r="I40" s="41" t="n">
        <v>4</v>
      </c>
      <c r="J40" s="41" t="n">
        <v>4</v>
      </c>
      <c r="K40" s="38" t="inlineStr">
        <is>
          <t>TR 10</t>
        </is>
      </c>
      <c r="L40" s="38" t="inlineStr">
        <is>
          <t>TR 10</t>
        </is>
      </c>
      <c r="M40" s="38" t="inlineStr">
        <is>
          <t>--</t>
        </is>
      </c>
      <c r="N40" s="38" t="inlineStr">
        <is>
          <t>--</t>
        </is>
      </c>
      <c r="O40" s="38" t="inlineStr">
        <is>
          <t>JJH</t>
        </is>
      </c>
      <c r="P40" s="44" t="n"/>
      <c r="Q40" s="62">
        <f>IF(C40="Yes", 1, IF(C40="no", 0, IF(C40= "tardy", SUM(J40/I40),"")))</f>
        <v/>
      </c>
      <c r="R40" s="62">
        <f>LEFT(Train_Log[[#This Row],[COURSE NAME:]],FIND(" - ", Train_Log[[#This Row],[COURSE NAME:]]) -1)</f>
        <v/>
      </c>
      <c r="S40" s="62">
        <f>MID(Train_Log[[#This Row],[COURSE NAME:]],FIND(" - ", Train_Log[[#This Row],[COURSE NAME:]]), 13)</f>
        <v/>
      </c>
      <c r="T40" s="62">
        <f>MID(E40, FIND(" - ", E40) + 3, LEN(E40)) &amp; "_" &amp; TEXT(F40, "yyyymmdd") &amp; "_" &amp; TEXT(H40, "yyyymmdd")</f>
        <v/>
      </c>
    </row>
    <row r="41">
      <c r="B41" s="38" t="inlineStr">
        <is>
          <t>EE168</t>
        </is>
      </c>
      <c r="C41" s="38" t="inlineStr">
        <is>
          <t>No</t>
        </is>
      </c>
      <c r="D41" s="39" t="inlineStr">
        <is>
          <t>4446319</t>
        </is>
      </c>
      <c r="E41" s="38" t="inlineStr">
        <is>
          <t>LWOP - HCES SUPERUSER TRAINING</t>
        </is>
      </c>
      <c r="F41" s="40" t="n">
        <v>45775</v>
      </c>
      <c r="G41" s="40" t="n">
        <v>45776</v>
      </c>
      <c r="H41" s="40" t="n">
        <v>45776</v>
      </c>
      <c r="I41" s="41" t="n">
        <v>2</v>
      </c>
      <c r="J41" s="41" t="n">
        <v>2</v>
      </c>
      <c r="K41" s="38" t="inlineStr">
        <is>
          <t>TR 9</t>
        </is>
      </c>
      <c r="L41" s="38" t="inlineStr">
        <is>
          <t>TR 8</t>
        </is>
      </c>
      <c r="M41" s="38" t="inlineStr">
        <is>
          <t>--</t>
        </is>
      </c>
      <c r="N41" s="38" t="inlineStr">
        <is>
          <t>--</t>
        </is>
      </c>
      <c r="O41" s="38" t="inlineStr">
        <is>
          <t>JJH</t>
        </is>
      </c>
      <c r="P41" s="59" t="n"/>
      <c r="Q41" s="62">
        <f>IF(C41="Yes", 1, IF(C41="no", 0, IF(C41= "tardy", SUM(J41/I41),"")))</f>
        <v/>
      </c>
      <c r="R41" s="62">
        <f>LEFT(Train_Log[[#This Row],[COURSE NAME:]],FIND(" - ", Train_Log[[#This Row],[COURSE NAME:]]) -1)</f>
        <v/>
      </c>
      <c r="S41" s="62">
        <f>MID(Train_Log[[#This Row],[COURSE NAME:]],FIND(" - ", Train_Log[[#This Row],[COURSE NAME:]]), 13)</f>
        <v/>
      </c>
      <c r="T41" s="62">
        <f>MID(E41, FIND(" - ", E41) + 3, LEN(E41)) &amp; "_" &amp; TEXT(F41, "yyyymmdd") &amp; "_" &amp; TEXT(H41, "yyyymmdd")</f>
        <v/>
      </c>
    </row>
    <row r="42">
      <c r="B42" s="38" t="inlineStr">
        <is>
          <t>EE189</t>
        </is>
      </c>
      <c r="C42" s="38" t="inlineStr">
        <is>
          <t>No</t>
        </is>
      </c>
      <c r="D42" s="39" t="inlineStr">
        <is>
          <t>4242955</t>
        </is>
      </c>
      <c r="E42" s="38" t="inlineStr">
        <is>
          <t>PHONES - LWOP</t>
        </is>
      </c>
      <c r="F42" s="40" t="n">
        <v>45385</v>
      </c>
      <c r="G42" s="40" t="n">
        <v>45385</v>
      </c>
      <c r="H42" s="40" t="n">
        <v>45385</v>
      </c>
      <c r="I42" s="41" t="n">
        <v>8</v>
      </c>
      <c r="J42" s="41" t="n">
        <v>8</v>
      </c>
      <c r="K42" s="38" t="inlineStr">
        <is>
          <t>TR 6</t>
        </is>
      </c>
      <c r="L42" s="38" t="inlineStr">
        <is>
          <t>TR 2</t>
        </is>
      </c>
      <c r="M42" s="38" t="inlineStr">
        <is>
          <t>--</t>
        </is>
      </c>
      <c r="N42" s="38" t="inlineStr">
        <is>
          <t>--</t>
        </is>
      </c>
      <c r="O42" s="38" t="inlineStr">
        <is>
          <t>JJH</t>
        </is>
      </c>
      <c r="P42" s="59" t="n"/>
      <c r="Q42" s="62">
        <f>IF(C42="Yes", 1, IF(C42="no", 0, IF(C42= "tardy", SUM(J42/I42),"")))</f>
        <v/>
      </c>
      <c r="R42" s="62">
        <f>LEFT(Train_Log[[#This Row],[COURSE NAME:]],FIND(" - ", Train_Log[[#This Row],[COURSE NAME:]]) -1)</f>
        <v/>
      </c>
      <c r="S42" s="62">
        <f>MID(Train_Log[[#This Row],[COURSE NAME:]],FIND(" - ", Train_Log[[#This Row],[COURSE NAME:]]), 13)</f>
        <v/>
      </c>
      <c r="T42" s="62">
        <f>MID(E42, FIND(" - ", E42) + 3, LEN(E42)) &amp; "_" &amp; TEXT(F42, "yyyymmdd") &amp; "_" &amp; TEXT(H42, "yyyymmdd")</f>
        <v/>
      </c>
    </row>
    <row r="43">
      <c r="B43" s="38" t="inlineStr">
        <is>
          <t>EE61</t>
        </is>
      </c>
      <c r="C43" s="38" t="inlineStr">
        <is>
          <t>No</t>
        </is>
      </c>
      <c r="D43" s="39" t="inlineStr">
        <is>
          <t>4806516</t>
        </is>
      </c>
      <c r="E43" s="38" t="inlineStr">
        <is>
          <t>RTR - EFORM SEPARATIONS TRAINING</t>
        </is>
      </c>
      <c r="F43" s="40" t="n">
        <v>45529</v>
      </c>
      <c r="G43" s="40" t="n">
        <v>45529</v>
      </c>
      <c r="H43" s="40" t="n">
        <v>45529</v>
      </c>
      <c r="I43" s="41" t="n">
        <v>2</v>
      </c>
      <c r="J43" s="41" t="n">
        <v>2</v>
      </c>
      <c r="K43" s="38" t="inlineStr">
        <is>
          <t>TR 4</t>
        </is>
      </c>
      <c r="L43" s="38" t="inlineStr">
        <is>
          <t>TR 8</t>
        </is>
      </c>
      <c r="M43" s="38" t="inlineStr">
        <is>
          <t>--</t>
        </is>
      </c>
      <c r="N43" s="38" t="inlineStr">
        <is>
          <t>--</t>
        </is>
      </c>
      <c r="O43" s="38" t="inlineStr">
        <is>
          <t>JJH</t>
        </is>
      </c>
      <c r="P43" s="59" t="n"/>
      <c r="Q43" s="62">
        <f>IF(C43="Yes", 1, IF(C43="no", 0, IF(C43= "tardy", SUM(J43/I43),"")))</f>
        <v/>
      </c>
      <c r="R43" s="62">
        <f>LEFT(Train_Log[[#This Row],[COURSE NAME:]],FIND(" - ", Train_Log[[#This Row],[COURSE NAME:]]) -1)</f>
        <v/>
      </c>
      <c r="S43" s="62">
        <f>MID(Train_Log[[#This Row],[COURSE NAME:]],FIND(" - ", Train_Log[[#This Row],[COURSE NAME:]]), 13)</f>
        <v/>
      </c>
      <c r="T43" s="62">
        <f>MID(E43, FIND(" - ", E43) + 3, LEN(E43)) &amp; "_" &amp; TEXT(F43, "yyyymmdd") &amp; "_" &amp; TEXT(H43, "yyyymmdd")</f>
        <v/>
      </c>
    </row>
    <row r="44">
      <c r="B44" s="38" t="inlineStr">
        <is>
          <t>EE157</t>
        </is>
      </c>
      <c r="C44" s="38" t="inlineStr">
        <is>
          <t>No</t>
        </is>
      </c>
      <c r="D44" s="39" t="inlineStr">
        <is>
          <t>5426799</t>
        </is>
      </c>
      <c r="E44" s="38" t="inlineStr">
        <is>
          <t>PHONES - EMPLOYMENT VERIFICATION</t>
        </is>
      </c>
      <c r="F44" s="40" t="n">
        <v>45765</v>
      </c>
      <c r="G44" s="40" t="n">
        <v>45766</v>
      </c>
      <c r="H44" s="40" t="n">
        <v>45766</v>
      </c>
      <c r="I44" s="41" t="n">
        <v>8</v>
      </c>
      <c r="J44" s="41" t="n">
        <v>8</v>
      </c>
      <c r="K44" s="38" t="inlineStr">
        <is>
          <t>TR 4</t>
        </is>
      </c>
      <c r="L44" s="38" t="inlineStr">
        <is>
          <t>TR 7</t>
        </is>
      </c>
      <c r="M44" s="38" t="inlineStr">
        <is>
          <t>--</t>
        </is>
      </c>
      <c r="N44" s="38" t="inlineStr">
        <is>
          <t>--</t>
        </is>
      </c>
      <c r="O44" s="38" t="inlineStr">
        <is>
          <t>JJH</t>
        </is>
      </c>
      <c r="P44" s="59" t="n"/>
      <c r="Q44" s="62">
        <f>IF(C44="Yes", 1, IF(C44="no", 0, IF(C44= "tardy", SUM(J44/I44),"")))</f>
        <v/>
      </c>
      <c r="R44" s="62">
        <f>LEFT(Train_Log[[#This Row],[COURSE NAME:]],FIND(" - ", Train_Log[[#This Row],[COURSE NAME:]]) -1)</f>
        <v/>
      </c>
      <c r="S44" s="62">
        <f>MID(Train_Log[[#This Row],[COURSE NAME:]],FIND(" - ", Train_Log[[#This Row],[COURSE NAME:]]), 13)</f>
        <v/>
      </c>
      <c r="T44" s="62">
        <f>MID(E44, FIND(" - ", E44) + 3, LEN(E44)) &amp; "_" &amp; TEXT(F44, "yyyymmdd") &amp; "_" &amp; TEXT(H44, "yyyymmdd")</f>
        <v/>
      </c>
    </row>
    <row r="45">
      <c r="B45" s="38" t="inlineStr">
        <is>
          <t>EE127</t>
        </is>
      </c>
      <c r="C45" s="38" t="inlineStr">
        <is>
          <t>No</t>
        </is>
      </c>
      <c r="D45" s="39" t="inlineStr">
        <is>
          <t>5675207</t>
        </is>
      </c>
      <c r="E45" s="38" t="inlineStr">
        <is>
          <t>LWOP - HCES SU FACILITATION TRAINING</t>
        </is>
      </c>
      <c r="F45" s="44" t="n">
        <v>45548</v>
      </c>
      <c r="G45" s="40" t="n">
        <v>45548</v>
      </c>
      <c r="H45" s="44" t="n">
        <v>45548</v>
      </c>
      <c r="I45" s="41" t="n">
        <v>2</v>
      </c>
      <c r="J45" s="42" t="n">
        <v>2</v>
      </c>
      <c r="K45" s="38" t="inlineStr">
        <is>
          <t>TR 2</t>
        </is>
      </c>
      <c r="L45" s="38" t="inlineStr">
        <is>
          <t>TR 7</t>
        </is>
      </c>
      <c r="M45" s="38" t="inlineStr">
        <is>
          <t>--</t>
        </is>
      </c>
      <c r="N45" s="38" t="inlineStr">
        <is>
          <t>--</t>
        </is>
      </c>
      <c r="O45" s="38" t="inlineStr">
        <is>
          <t>JJH</t>
        </is>
      </c>
      <c r="Q45" s="62">
        <f>IF(C45="Yes", 1, IF(C45="no", 0, IF(C45= "tardy", SUM(J45/I45),"")))</f>
        <v/>
      </c>
      <c r="R45" s="62">
        <f>LEFT(Train_Log[[#This Row],[COURSE NAME:]],FIND(" - ", Train_Log[[#This Row],[COURSE NAME:]]) -1)</f>
        <v/>
      </c>
      <c r="S45" s="62">
        <f>MID(Train_Log[[#This Row],[COURSE NAME:]],FIND(" - ", Train_Log[[#This Row],[COURSE NAME:]]), 13)</f>
        <v/>
      </c>
      <c r="T45" s="62">
        <f>MID(E45, FIND(" - ", E45) + 3, LEN(E45)) &amp; "_" &amp; TEXT(F45, "yyyymmdd") &amp; "_" &amp; TEXT(H45, "yyyymmdd")</f>
        <v/>
      </c>
    </row>
    <row r="46">
      <c r="B46" s="38" t="inlineStr">
        <is>
          <t>EE57</t>
        </is>
      </c>
      <c r="C46" s="38" t="inlineStr">
        <is>
          <t>No</t>
        </is>
      </c>
      <c r="D46" s="39" t="inlineStr">
        <is>
          <t>6636706</t>
        </is>
      </c>
      <c r="E46" s="38" t="inlineStr">
        <is>
          <t>PHONES - LWOP</t>
        </is>
      </c>
      <c r="F46" s="44" t="n">
        <v>45774</v>
      </c>
      <c r="G46" s="40" t="n">
        <v>45774</v>
      </c>
      <c r="H46" s="44" t="n">
        <v>45774</v>
      </c>
      <c r="I46" s="41" t="n">
        <v>2</v>
      </c>
      <c r="J46" s="42" t="n">
        <v>2</v>
      </c>
      <c r="K46" s="38" t="inlineStr">
        <is>
          <t>TR 8</t>
        </is>
      </c>
      <c r="L46" s="38" t="inlineStr">
        <is>
          <t>TR 3</t>
        </is>
      </c>
      <c r="M46" s="38" t="inlineStr">
        <is>
          <t>--</t>
        </is>
      </c>
      <c r="N46" s="38" t="inlineStr">
        <is>
          <t>--</t>
        </is>
      </c>
      <c r="O46" s="38" t="inlineStr">
        <is>
          <t>JJH</t>
        </is>
      </c>
      <c r="Q46" s="62">
        <f>IF(C46="Yes", 1, IF(C46="no", 0, IF(C46= "tardy", SUM(J46/I46),"")))</f>
        <v/>
      </c>
      <c r="R46" s="62">
        <f>LEFT(Train_Log[[#This Row],[COURSE NAME:]],FIND(" - ", Train_Log[[#This Row],[COURSE NAME:]]) -1)</f>
        <v/>
      </c>
      <c r="S46" s="62">
        <f>MID(Train_Log[[#This Row],[COURSE NAME:]],FIND(" - ", Train_Log[[#This Row],[COURSE NAME:]]), 13)</f>
        <v/>
      </c>
      <c r="T46" s="62">
        <f>MID(E46, FIND(" - ", E46) + 3, LEN(E46)) &amp; "_" &amp; TEXT(F46, "yyyymmdd") &amp; "_" &amp; TEXT(H46, "yyyymmdd")</f>
        <v/>
      </c>
    </row>
    <row r="47">
      <c r="B47" s="38" t="inlineStr">
        <is>
          <t>EE119</t>
        </is>
      </c>
      <c r="C47" s="38" t="inlineStr">
        <is>
          <t>No</t>
        </is>
      </c>
      <c r="D47" s="39" t="inlineStr">
        <is>
          <t>4585652</t>
        </is>
      </c>
      <c r="E47" s="38" t="inlineStr">
        <is>
          <t>LWOP - HCES SUPERUSER TRAINING</t>
        </is>
      </c>
      <c r="F47" s="44" t="n">
        <v>45752</v>
      </c>
      <c r="G47" s="40" t="n">
        <v>45754</v>
      </c>
      <c r="H47" s="44" t="n">
        <v>45754</v>
      </c>
      <c r="I47" s="41" t="n">
        <v>8</v>
      </c>
      <c r="J47" s="42" t="n">
        <v>8</v>
      </c>
      <c r="K47" s="38" t="inlineStr">
        <is>
          <t>TR 7</t>
        </is>
      </c>
      <c r="L47" s="38" t="inlineStr">
        <is>
          <t>TR 9</t>
        </is>
      </c>
      <c r="M47" s="38" t="inlineStr">
        <is>
          <t>--</t>
        </is>
      </c>
      <c r="N47" s="38" t="inlineStr">
        <is>
          <t>--</t>
        </is>
      </c>
      <c r="O47" s="38" t="inlineStr">
        <is>
          <t>JJH</t>
        </is>
      </c>
      <c r="Q47" s="62">
        <f>IF(C47="Yes", 1, IF(C47="no", 0, IF(C47= "tardy", SUM(J47/I47),"")))</f>
        <v/>
      </c>
      <c r="R47" s="62">
        <f>LEFT(Train_Log[[#This Row],[COURSE NAME:]],FIND(" - ", Train_Log[[#This Row],[COURSE NAME:]]) -1)</f>
        <v/>
      </c>
      <c r="S47" s="62">
        <f>MID(Train_Log[[#This Row],[COURSE NAME:]],FIND(" - ", Train_Log[[#This Row],[COURSE NAME:]]), 13)</f>
        <v/>
      </c>
      <c r="T47" s="62">
        <f>MID(E47, FIND(" - ", E47) + 3, LEN(E47)) &amp; "_" &amp; TEXT(F47, "yyyymmdd") &amp; "_" &amp; TEXT(H47, "yyyymmdd")</f>
        <v/>
      </c>
    </row>
    <row r="48">
      <c r="B48" s="38" t="inlineStr">
        <is>
          <t>EE115</t>
        </is>
      </c>
      <c r="C48" s="38" t="inlineStr">
        <is>
          <t>No</t>
        </is>
      </c>
      <c r="D48" s="39" t="inlineStr">
        <is>
          <t>6696316</t>
        </is>
      </c>
      <c r="E48" s="38" t="inlineStr">
        <is>
          <t>PHONES - LWOP</t>
        </is>
      </c>
      <c r="F48" s="44" t="n">
        <v>45785</v>
      </c>
      <c r="G48" s="40" t="n">
        <v>45786</v>
      </c>
      <c r="H48" s="44" t="n">
        <v>45786</v>
      </c>
      <c r="I48" s="41" t="n">
        <v>2</v>
      </c>
      <c r="J48" s="42" t="n">
        <v>2</v>
      </c>
      <c r="K48" s="38" t="inlineStr">
        <is>
          <t>TR 5</t>
        </is>
      </c>
      <c r="L48" s="38" t="inlineStr">
        <is>
          <t>TR 9</t>
        </is>
      </c>
      <c r="M48" s="38" t="inlineStr">
        <is>
          <t>--</t>
        </is>
      </c>
      <c r="N48" s="38" t="inlineStr">
        <is>
          <t>--</t>
        </is>
      </c>
      <c r="O48" s="38" t="inlineStr">
        <is>
          <t>JJH</t>
        </is>
      </c>
      <c r="Q48" s="62">
        <f>IF(C48="Yes", 1, IF(C48="no", 0, IF(C48= "tardy", SUM(J48/I48),"")))</f>
        <v/>
      </c>
      <c r="R48" s="62">
        <f>LEFT(Train_Log[[#This Row],[COURSE NAME:]],FIND(" - ", Train_Log[[#This Row],[COURSE NAME:]]) -1)</f>
        <v/>
      </c>
      <c r="S48" s="62">
        <f>MID(Train_Log[[#This Row],[COURSE NAME:]],FIND(" - ", Train_Log[[#This Row],[COURSE NAME:]]), 13)</f>
        <v/>
      </c>
      <c r="T48" s="62">
        <f>MID(E48, FIND(" - ", E48) + 3, LEN(E48)) &amp; "_" &amp; TEXT(F48, "yyyymmdd") &amp; "_" &amp; TEXT(H48, "yyyymmdd")</f>
        <v/>
      </c>
    </row>
    <row r="49">
      <c r="B49" s="38" t="inlineStr">
        <is>
          <t>EE125</t>
        </is>
      </c>
      <c r="C49" s="38" t="inlineStr">
        <is>
          <t>No</t>
        </is>
      </c>
      <c r="D49" s="39" t="inlineStr">
        <is>
          <t>5796981</t>
        </is>
      </c>
      <c r="E49" s="38" t="inlineStr">
        <is>
          <t>SUPPORT - TRAINING - PTSP TRAINING</t>
        </is>
      </c>
      <c r="F49" s="44" t="n">
        <v>45580</v>
      </c>
      <c r="G49" s="40" t="n">
        <v>45581</v>
      </c>
      <c r="H49" s="44" t="n">
        <v>45581</v>
      </c>
      <c r="I49" s="41" t="n">
        <v>3</v>
      </c>
      <c r="J49" s="42" t="n">
        <v>3</v>
      </c>
      <c r="K49" s="38" t="inlineStr">
        <is>
          <t>TR 4</t>
        </is>
      </c>
      <c r="L49" s="38" t="inlineStr">
        <is>
          <t>TR 5</t>
        </is>
      </c>
      <c r="M49" s="38" t="inlineStr">
        <is>
          <t>--</t>
        </is>
      </c>
      <c r="N49" s="38" t="inlineStr">
        <is>
          <t>--</t>
        </is>
      </c>
      <c r="O49" s="38" t="inlineStr">
        <is>
          <t>JJH</t>
        </is>
      </c>
      <c r="Q49" s="62">
        <f>IF(C49="Yes", 1, IF(C49="no", 0, IF(C49= "tardy", SUM(J49/I49),"")))</f>
        <v/>
      </c>
      <c r="R49" s="62">
        <f>LEFT(Train_Log[[#This Row],[COURSE NAME:]],FIND(" - ", Train_Log[[#This Row],[COURSE NAME:]]) -1)</f>
        <v/>
      </c>
      <c r="S49" s="62">
        <f>MID(Train_Log[[#This Row],[COURSE NAME:]],FIND(" - ", Train_Log[[#This Row],[COURSE NAME:]]), 13)</f>
        <v/>
      </c>
      <c r="T49" s="62">
        <f>MID(E49, FIND(" - ", E49) + 3, LEN(E49)) &amp; "_" &amp; TEXT(F49, "yyyymmdd") &amp; "_" &amp; TEXT(H49, "yyyymmdd")</f>
        <v/>
      </c>
    </row>
    <row r="50">
      <c r="B50" s="38" t="inlineStr">
        <is>
          <t>EE86</t>
        </is>
      </c>
      <c r="C50" s="38" t="inlineStr">
        <is>
          <t>No</t>
        </is>
      </c>
      <c r="D50" s="39" t="inlineStr">
        <is>
          <t>6554880</t>
        </is>
      </c>
      <c r="E50" s="38" t="inlineStr">
        <is>
          <t>LWOP - HCES SUPERUSER TRAINING</t>
        </is>
      </c>
      <c r="F50" s="44" t="n">
        <v>45381</v>
      </c>
      <c r="G50" s="40" t="n">
        <v>45381</v>
      </c>
      <c r="H50" s="44" t="n">
        <v>45381</v>
      </c>
      <c r="I50" s="41" t="n">
        <v>4</v>
      </c>
      <c r="J50" s="42" t="n">
        <v>4</v>
      </c>
      <c r="K50" s="38" t="inlineStr">
        <is>
          <t>TR 3</t>
        </is>
      </c>
      <c r="L50" s="38" t="inlineStr">
        <is>
          <t>TR 4</t>
        </is>
      </c>
      <c r="M50" s="38" t="inlineStr">
        <is>
          <t>--</t>
        </is>
      </c>
      <c r="N50" s="38" t="inlineStr">
        <is>
          <t>--</t>
        </is>
      </c>
      <c r="O50" s="38" t="inlineStr">
        <is>
          <t>JJH</t>
        </is>
      </c>
      <c r="Q50" s="62">
        <f>IF(C50="Yes", 1, IF(C50="no", 0, IF(C50= "tardy", SUM(J50/I50),"")))</f>
        <v/>
      </c>
      <c r="R50" s="62">
        <f>LEFT(Train_Log[[#This Row],[COURSE NAME:]],FIND(" - ", Train_Log[[#This Row],[COURSE NAME:]]) -1)</f>
        <v/>
      </c>
      <c r="S50" s="62">
        <f>MID(Train_Log[[#This Row],[COURSE NAME:]],FIND(" - ", Train_Log[[#This Row],[COURSE NAME:]]), 13)</f>
        <v/>
      </c>
      <c r="T50" s="62">
        <f>MID(E50, FIND(" - ", E50) + 3, LEN(E50)) &amp; "_" &amp; TEXT(F50, "yyyymmdd") &amp; "_" &amp; TEXT(H50, "yyyymmdd")</f>
        <v/>
      </c>
    </row>
    <row r="51">
      <c r="B51" s="38" t="inlineStr">
        <is>
          <t>EE17</t>
        </is>
      </c>
      <c r="C51" s="38" t="inlineStr">
        <is>
          <t>No</t>
        </is>
      </c>
      <c r="D51" s="39" t="inlineStr">
        <is>
          <t>4917034</t>
        </is>
      </c>
      <c r="E51" s="38" t="inlineStr">
        <is>
          <t>LWOP - HCES SU FACILITATION TRAINING</t>
        </is>
      </c>
      <c r="F51" s="44" t="n">
        <v>45716</v>
      </c>
      <c r="G51" s="40" t="n">
        <v>45716</v>
      </c>
      <c r="H51" s="44" t="n">
        <v>45716</v>
      </c>
      <c r="I51" s="41" t="n">
        <v>4</v>
      </c>
      <c r="J51" s="42" t="n">
        <v>4</v>
      </c>
      <c r="K51" s="38" t="inlineStr">
        <is>
          <t>TR 1</t>
        </is>
      </c>
      <c r="L51" s="38" t="inlineStr">
        <is>
          <t>TR 4</t>
        </is>
      </c>
      <c r="M51" s="38" t="inlineStr">
        <is>
          <t>--</t>
        </is>
      </c>
      <c r="N51" s="38" t="inlineStr">
        <is>
          <t>--</t>
        </is>
      </c>
      <c r="O51" s="38" t="inlineStr">
        <is>
          <t>JJH</t>
        </is>
      </c>
      <c r="Q51" s="62">
        <f>IF(C51="Yes", 1, IF(C51="no", 0, IF(C51= "tardy", SUM(J51/I51),"")))</f>
        <v/>
      </c>
      <c r="R51" s="62">
        <f>LEFT(Train_Log[[#This Row],[COURSE NAME:]],FIND(" - ", Train_Log[[#This Row],[COURSE NAME:]]) -1)</f>
        <v/>
      </c>
      <c r="S51" s="62">
        <f>MID(Train_Log[[#This Row],[COURSE NAME:]],FIND(" - ", Train_Log[[#This Row],[COURSE NAME:]]), 13)</f>
        <v/>
      </c>
      <c r="T51" s="62">
        <f>MID(E51, FIND(" - ", E51) + 3, LEN(E51)) &amp; "_" &amp; TEXT(F51, "yyyymmdd") &amp; "_" &amp; TEXT(H51, "yyyymmdd")</f>
        <v/>
      </c>
    </row>
    <row r="52">
      <c r="B52" s="38" t="inlineStr">
        <is>
          <t>EE108</t>
        </is>
      </c>
      <c r="C52" s="38" t="inlineStr">
        <is>
          <t>No</t>
        </is>
      </c>
      <c r="D52" s="39" t="inlineStr">
        <is>
          <t>4884926</t>
        </is>
      </c>
      <c r="E52" s="38" t="inlineStr">
        <is>
          <t>LWOP - HCES SU FACILITATION TRAINING</t>
        </is>
      </c>
      <c r="F52" s="44" t="n">
        <v>45319</v>
      </c>
      <c r="G52" s="40" t="n">
        <v>45321</v>
      </c>
      <c r="H52" s="44" t="n">
        <v>45321</v>
      </c>
      <c r="I52" s="41" t="n">
        <v>2</v>
      </c>
      <c r="J52" s="42" t="n">
        <v>2</v>
      </c>
      <c r="K52" s="38" t="inlineStr">
        <is>
          <t>TR 6</t>
        </is>
      </c>
      <c r="L52" s="38" t="inlineStr">
        <is>
          <t>TR 5</t>
        </is>
      </c>
      <c r="M52" s="38" t="inlineStr">
        <is>
          <t>--</t>
        </is>
      </c>
      <c r="N52" s="38" t="inlineStr">
        <is>
          <t>--</t>
        </is>
      </c>
      <c r="O52" s="38" t="inlineStr">
        <is>
          <t>JJH</t>
        </is>
      </c>
      <c r="Q52" s="62">
        <f>IF(C52="Yes", 1, IF(C52="no", 0, IF(C52= "tardy", SUM(J52/I52),"")))</f>
        <v/>
      </c>
      <c r="R52" s="62">
        <f>LEFT(Train_Log[[#This Row],[COURSE NAME:]],FIND(" - ", Train_Log[[#This Row],[COURSE NAME:]]) -1)</f>
        <v/>
      </c>
      <c r="S52" s="62">
        <f>MID(Train_Log[[#This Row],[COURSE NAME:]],FIND(" - ", Train_Log[[#This Row],[COURSE NAME:]]), 13)</f>
        <v/>
      </c>
      <c r="T52" s="62">
        <f>MID(E52, FIND(" - ", E52) + 3, LEN(E52)) &amp; "_" &amp; TEXT(F52, "yyyymmdd") &amp; "_" &amp; TEXT(H52, "yyyymmdd")</f>
        <v/>
      </c>
    </row>
    <row r="53">
      <c r="B53" s="38" t="inlineStr">
        <is>
          <t>EE100</t>
        </is>
      </c>
      <c r="C53" s="38" t="inlineStr">
        <is>
          <t>No</t>
        </is>
      </c>
      <c r="D53" s="39" t="inlineStr">
        <is>
          <t>5360140</t>
        </is>
      </c>
      <c r="E53" s="38" t="inlineStr">
        <is>
          <t>LWOP - HCES SU FACILITATION TRAINING</t>
        </is>
      </c>
      <c r="F53" s="44" t="n">
        <v>45524</v>
      </c>
      <c r="G53" s="40" t="n">
        <v>45525</v>
      </c>
      <c r="H53" s="44" t="n">
        <v>45525</v>
      </c>
      <c r="I53" s="41" t="n">
        <v>4</v>
      </c>
      <c r="J53" s="42" t="n">
        <v>4</v>
      </c>
      <c r="K53" s="38" t="inlineStr">
        <is>
          <t>TR 8</t>
        </is>
      </c>
      <c r="L53" s="38" t="inlineStr">
        <is>
          <t>TR 1</t>
        </is>
      </c>
      <c r="M53" s="38" t="inlineStr">
        <is>
          <t>--</t>
        </is>
      </c>
      <c r="N53" s="38" t="inlineStr">
        <is>
          <t>--</t>
        </is>
      </c>
      <c r="O53" s="38" t="inlineStr">
        <is>
          <t>JJH</t>
        </is>
      </c>
      <c r="Q53" s="62">
        <f>IF(C53="Yes", 1, IF(C53="no", 0, IF(C53= "tardy", SUM(J53/I53),"")))</f>
        <v/>
      </c>
      <c r="R53" s="62">
        <f>LEFT(Train_Log[[#This Row],[COURSE NAME:]],FIND(" - ", Train_Log[[#This Row],[COURSE NAME:]]) -1)</f>
        <v/>
      </c>
      <c r="S53" s="62">
        <f>MID(Train_Log[[#This Row],[COURSE NAME:]],FIND(" - ", Train_Log[[#This Row],[COURSE NAME:]]), 13)</f>
        <v/>
      </c>
      <c r="T53" s="62">
        <f>MID(E53, FIND(" - ", E53) + 3, LEN(E53)) &amp; "_" &amp; TEXT(F53, "yyyymmdd") &amp; "_" &amp; TEXT(H53, "yyyymmdd")</f>
        <v/>
      </c>
    </row>
    <row r="54">
      <c r="B54" s="38" t="inlineStr">
        <is>
          <t>EE100</t>
        </is>
      </c>
      <c r="C54" s="38" t="inlineStr">
        <is>
          <t>No</t>
        </is>
      </c>
      <c r="D54" s="39" t="inlineStr">
        <is>
          <t>5360140</t>
        </is>
      </c>
      <c r="E54" s="38" t="inlineStr">
        <is>
          <t>LWOP - HCES SUPERUSER TRAINING</t>
        </is>
      </c>
      <c r="F54" s="44" t="n">
        <v>45713</v>
      </c>
      <c r="G54" s="40" t="n">
        <v>45717</v>
      </c>
      <c r="H54" s="44" t="n">
        <v>45717</v>
      </c>
      <c r="I54" s="41" t="n">
        <v>4</v>
      </c>
      <c r="J54" s="42" t="n">
        <v>4</v>
      </c>
      <c r="K54" s="38" t="inlineStr">
        <is>
          <t>TR 3</t>
        </is>
      </c>
      <c r="L54" s="38" t="inlineStr">
        <is>
          <t>TR 10</t>
        </is>
      </c>
      <c r="M54" s="38" t="inlineStr">
        <is>
          <t>--</t>
        </is>
      </c>
      <c r="N54" s="38" t="inlineStr">
        <is>
          <t>--</t>
        </is>
      </c>
      <c r="O54" s="38" t="inlineStr">
        <is>
          <t>JJH</t>
        </is>
      </c>
      <c r="Q54" s="62">
        <f>IF(C54="Yes", 1, IF(C54="no", 0, IF(C54= "tardy", SUM(J54/I54),"")))</f>
        <v/>
      </c>
      <c r="R54" s="62">
        <f>LEFT(Train_Log[[#This Row],[COURSE NAME:]],FIND(" - ", Train_Log[[#This Row],[COURSE NAME:]]) -1)</f>
        <v/>
      </c>
      <c r="S54" s="62">
        <f>MID(Train_Log[[#This Row],[COURSE NAME:]],FIND(" - ", Train_Log[[#This Row],[COURSE NAME:]]), 13)</f>
        <v/>
      </c>
      <c r="T54" s="62">
        <f>MID(E54, FIND(" - ", E54) + 3, LEN(E54)) &amp; "_" &amp; TEXT(F54, "yyyymmdd") &amp; "_" &amp; TEXT(H54, "yyyymmdd")</f>
        <v/>
      </c>
    </row>
    <row r="55">
      <c r="B55" s="38" t="inlineStr">
        <is>
          <t>EE137</t>
        </is>
      </c>
      <c r="C55" s="38" t="inlineStr">
        <is>
          <t>No</t>
        </is>
      </c>
      <c r="D55" s="39" t="inlineStr">
        <is>
          <t>6631699</t>
        </is>
      </c>
      <c r="E55" s="38" t="inlineStr">
        <is>
          <t>PHONES - BENEFITS</t>
        </is>
      </c>
      <c r="F55" s="44" t="n">
        <v>45702</v>
      </c>
      <c r="G55" s="40" t="n">
        <v>45704</v>
      </c>
      <c r="H55" s="44" t="n">
        <v>45704</v>
      </c>
      <c r="I55" s="41" t="n">
        <v>2</v>
      </c>
      <c r="J55" s="42" t="n">
        <v>2</v>
      </c>
      <c r="K55" s="38" t="inlineStr">
        <is>
          <t>TR 2</t>
        </is>
      </c>
      <c r="L55" s="38" t="inlineStr">
        <is>
          <t>--</t>
        </is>
      </c>
      <c r="M55" s="38" t="inlineStr">
        <is>
          <t>--</t>
        </is>
      </c>
      <c r="N55" s="38" t="inlineStr">
        <is>
          <t>--</t>
        </is>
      </c>
      <c r="O55" s="38" t="inlineStr">
        <is>
          <t>JJH</t>
        </is>
      </c>
      <c r="Q55" s="62">
        <f>IF(C55="Yes", 1, IF(C55="no", 0, IF(C55= "tardy", SUM(J55/I55),"")))</f>
        <v/>
      </c>
      <c r="R55" s="62">
        <f>LEFT(Train_Log[[#This Row],[COURSE NAME:]],FIND(" - ", Train_Log[[#This Row],[COURSE NAME:]]) -1)</f>
        <v/>
      </c>
      <c r="S55" s="62">
        <f>MID(Train_Log[[#This Row],[COURSE NAME:]],FIND(" - ", Train_Log[[#This Row],[COURSE NAME:]]), 13)</f>
        <v/>
      </c>
      <c r="T55" s="62">
        <f>MID(E55, FIND(" - ", E55) + 3, LEN(E55)) &amp; "_" &amp; TEXT(F55, "yyyymmdd") &amp; "_" &amp; TEXT(H55, "yyyymmdd")</f>
        <v/>
      </c>
    </row>
    <row r="56">
      <c r="B56" s="38" t="inlineStr">
        <is>
          <t>EE110</t>
        </is>
      </c>
      <c r="C56" s="38" t="inlineStr">
        <is>
          <t>tardy</t>
        </is>
      </c>
      <c r="D56" s="39" t="inlineStr">
        <is>
          <t>5319854</t>
        </is>
      </c>
      <c r="E56" s="38" t="inlineStr">
        <is>
          <t>PHONES - LWOP</t>
        </is>
      </c>
      <c r="F56" s="44" t="n">
        <v>45771</v>
      </c>
      <c r="G56" s="40" t="n">
        <v>45771</v>
      </c>
      <c r="H56" s="44" t="n">
        <v>45771</v>
      </c>
      <c r="I56" s="41" t="n">
        <v>4</v>
      </c>
      <c r="J56" s="42" t="n">
        <v>2.52</v>
      </c>
      <c r="K56" s="38" t="inlineStr">
        <is>
          <t>TR 8</t>
        </is>
      </c>
      <c r="L56" s="38" t="inlineStr">
        <is>
          <t>TR 6</t>
        </is>
      </c>
      <c r="M56" s="38" t="inlineStr">
        <is>
          <t>--</t>
        </is>
      </c>
      <c r="N56" s="38" t="inlineStr">
        <is>
          <t>--</t>
        </is>
      </c>
      <c r="O56" s="38" t="inlineStr">
        <is>
          <t>JJH</t>
        </is>
      </c>
      <c r="Q56" s="62">
        <f>IF(C56="Yes", 1, IF(C56="no", 0, IF(C56= "tardy", SUM(J56/I56),"")))</f>
        <v/>
      </c>
      <c r="R56" s="62">
        <f>LEFT(Train_Log[[#This Row],[COURSE NAME:]],FIND(" - ", Train_Log[[#This Row],[COURSE NAME:]]) -1)</f>
        <v/>
      </c>
      <c r="S56" s="62">
        <f>MID(Train_Log[[#This Row],[COURSE NAME:]],FIND(" - ", Train_Log[[#This Row],[COURSE NAME:]]), 13)</f>
        <v/>
      </c>
      <c r="T56" s="62">
        <f>MID(E56, FIND(" - ", E56) + 3, LEN(E56)) &amp; "_" &amp; TEXT(F56, "yyyymmdd") &amp; "_" &amp; TEXT(H56, "yyyymmdd")</f>
        <v/>
      </c>
    </row>
    <row r="57">
      <c r="B57" s="38" t="inlineStr">
        <is>
          <t>EE87</t>
        </is>
      </c>
      <c r="C57" s="38" t="inlineStr">
        <is>
          <t>No</t>
        </is>
      </c>
      <c r="D57" t="inlineStr">
        <is>
          <t>6663291</t>
        </is>
      </c>
      <c r="E57" s="38" t="inlineStr">
        <is>
          <t>LWOP - HCES SU FACILITATION TRAINING</t>
        </is>
      </c>
      <c r="F57" s="40" t="n">
        <v>45583</v>
      </c>
      <c r="G57" s="40" t="n">
        <v>45584</v>
      </c>
      <c r="H57" s="40" t="n">
        <v>45584</v>
      </c>
      <c r="I57" s="41" t="n">
        <v>2</v>
      </c>
      <c r="J57" s="49" t="n">
        <v>2</v>
      </c>
      <c r="K57" s="38" t="inlineStr">
        <is>
          <t>TR 8</t>
        </is>
      </c>
      <c r="L57" s="38" t="inlineStr">
        <is>
          <t>TR 1</t>
        </is>
      </c>
      <c r="M57" s="38" t="inlineStr">
        <is>
          <t>--</t>
        </is>
      </c>
      <c r="N57" s="38" t="inlineStr">
        <is>
          <t>--</t>
        </is>
      </c>
      <c r="O57" s="38" t="inlineStr">
        <is>
          <t>JJH</t>
        </is>
      </c>
      <c r="Q57" s="62">
        <f>IF(C57="Yes", 1, IF(C57="no", 0, IF(C57= "tardy", SUM(J57/I57),"")))</f>
        <v/>
      </c>
      <c r="R57" s="62">
        <f>LEFT(Train_Log[[#This Row],[COURSE NAME:]],FIND(" - ", Train_Log[[#This Row],[COURSE NAME:]]) -1)</f>
        <v/>
      </c>
      <c r="S57" s="62">
        <f>MID(Train_Log[[#This Row],[COURSE NAME:]],FIND(" - ", Train_Log[[#This Row],[COURSE NAME:]]), 13)</f>
        <v/>
      </c>
      <c r="T57" s="62">
        <f>MID(E57, FIND(" - ", E57) + 3, LEN(E57)) &amp; "_" &amp; TEXT(F57, "yyyymmdd") &amp; "_" &amp; TEXT(H57, "yyyymmdd")</f>
        <v/>
      </c>
    </row>
    <row r="58">
      <c r="B58" s="38" t="inlineStr">
        <is>
          <t>EE139</t>
        </is>
      </c>
      <c r="C58" s="38" t="inlineStr">
        <is>
          <t>No</t>
        </is>
      </c>
      <c r="D58" s="51" t="inlineStr">
        <is>
          <t>6854145</t>
        </is>
      </c>
      <c r="E58" s="38" t="inlineStr">
        <is>
          <t>PHONES - BENEFITS</t>
        </is>
      </c>
      <c r="F58" s="52" t="n">
        <v>45657</v>
      </c>
      <c r="G58" s="40" t="n">
        <v>45657</v>
      </c>
      <c r="H58" s="40" t="n">
        <v>45657</v>
      </c>
      <c r="I58" s="41" t="n">
        <v>2</v>
      </c>
      <c r="J58" s="41" t="n">
        <v>2</v>
      </c>
      <c r="K58" s="38" t="inlineStr">
        <is>
          <t>TR 1</t>
        </is>
      </c>
      <c r="L58" s="38" t="inlineStr">
        <is>
          <t>TR 4</t>
        </is>
      </c>
      <c r="M58" s="38" t="inlineStr">
        <is>
          <t>--</t>
        </is>
      </c>
      <c r="N58" s="38" t="inlineStr">
        <is>
          <t>--</t>
        </is>
      </c>
      <c r="O58" s="38" t="inlineStr">
        <is>
          <t>JJH</t>
        </is>
      </c>
      <c r="P58" s="50" t="n"/>
      <c r="Q58" s="62">
        <f>IF(C58="Yes", 1, IF(C58="no", 0, IF(C58= "tardy", SUM(J58/I58),"")))</f>
        <v/>
      </c>
      <c r="R58" s="62">
        <f>LEFT(Train_Log[[#This Row],[COURSE NAME:]],FIND(" - ", Train_Log[[#This Row],[COURSE NAME:]]) -1)</f>
        <v/>
      </c>
      <c r="S58" s="62">
        <f>MID(Train_Log[[#This Row],[COURSE NAME:]],FIND(" - ", Train_Log[[#This Row],[COURSE NAME:]]), 13)</f>
        <v/>
      </c>
      <c r="T58" s="62">
        <f>MID(E58, FIND(" - ", E58) + 3, LEN(E58)) &amp; "_" &amp; TEXT(F58, "yyyymmdd") &amp; "_" &amp; TEXT(H58, "yyyymmdd")</f>
        <v/>
      </c>
    </row>
    <row r="59">
      <c r="B59" s="38" t="inlineStr">
        <is>
          <t>EE52</t>
        </is>
      </c>
      <c r="C59" s="38" t="inlineStr">
        <is>
          <t>No</t>
        </is>
      </c>
      <c r="D59" s="39" t="inlineStr">
        <is>
          <t>4523558</t>
        </is>
      </c>
      <c r="E59" s="38" t="inlineStr">
        <is>
          <t>PHONES - BENEFITS</t>
        </is>
      </c>
      <c r="F59" s="40" t="n">
        <v>45455</v>
      </c>
      <c r="G59" s="40" t="n">
        <v>45455</v>
      </c>
      <c r="H59" s="40" t="n">
        <v>45455</v>
      </c>
      <c r="I59" s="41" t="n">
        <v>2</v>
      </c>
      <c r="J59" s="41" t="n">
        <v>2</v>
      </c>
      <c r="K59" s="38" t="inlineStr">
        <is>
          <t>TR 10</t>
        </is>
      </c>
      <c r="L59" s="38" t="inlineStr">
        <is>
          <t>TR 4</t>
        </is>
      </c>
      <c r="M59" s="38" t="inlineStr">
        <is>
          <t>--</t>
        </is>
      </c>
      <c r="N59" s="38" t="inlineStr">
        <is>
          <t>--</t>
        </is>
      </c>
      <c r="O59" s="38" t="inlineStr">
        <is>
          <t>JJH</t>
        </is>
      </c>
      <c r="P59" s="44" t="n"/>
      <c r="Q59" s="62">
        <f>IF(C59="Yes", 1, IF(C59="no", 0, IF(C59= "tardy", SUM(J59/I59),"")))</f>
        <v/>
      </c>
      <c r="R59" s="62">
        <f>LEFT(Train_Log[[#This Row],[COURSE NAME:]],FIND(" - ", Train_Log[[#This Row],[COURSE NAME:]]) -1)</f>
        <v/>
      </c>
      <c r="S59" s="62">
        <f>MID(Train_Log[[#This Row],[COURSE NAME:]],FIND(" - ", Train_Log[[#This Row],[COURSE NAME:]]), 13)</f>
        <v/>
      </c>
      <c r="T59" s="62">
        <f>MID(E59, FIND(" - ", E59) + 3, LEN(E59)) &amp; "_" &amp; TEXT(F59, "yyyymmdd") &amp; "_" &amp; TEXT(H59, "yyyymmdd")</f>
        <v/>
      </c>
    </row>
    <row r="60">
      <c r="B60" s="38" t="inlineStr">
        <is>
          <t>EE120</t>
        </is>
      </c>
      <c r="C60" s="38" t="inlineStr">
        <is>
          <t>No</t>
        </is>
      </c>
      <c r="D60" s="39" t="inlineStr">
        <is>
          <t>5034430</t>
        </is>
      </c>
      <c r="E60" s="38" t="inlineStr">
        <is>
          <t>RTR - EFORM SEPARATIONS TRAINING</t>
        </is>
      </c>
      <c r="F60" s="40" t="n">
        <v>45676</v>
      </c>
      <c r="G60" s="40" t="n">
        <v>45676</v>
      </c>
      <c r="H60" s="40" t="n">
        <v>45676</v>
      </c>
      <c r="I60" s="41" t="n">
        <v>2</v>
      </c>
      <c r="J60" s="41" t="n">
        <v>2</v>
      </c>
      <c r="K60" s="38" t="inlineStr">
        <is>
          <t>TR 3</t>
        </is>
      </c>
      <c r="L60" s="38" t="inlineStr">
        <is>
          <t>TR 5</t>
        </is>
      </c>
      <c r="M60" s="38" t="inlineStr">
        <is>
          <t>--</t>
        </is>
      </c>
      <c r="N60" s="38" t="inlineStr">
        <is>
          <t>--</t>
        </is>
      </c>
      <c r="O60" s="38" t="inlineStr">
        <is>
          <t>JJH</t>
        </is>
      </c>
      <c r="P60" s="44" t="n"/>
      <c r="Q60" s="62">
        <f>IF(C60="Yes", 1, IF(C60="no", 0, IF(C60= "tardy", SUM(J60/I60),"")))</f>
        <v/>
      </c>
      <c r="R60" s="62">
        <f>LEFT(Train_Log[[#This Row],[COURSE NAME:]],FIND(" - ", Train_Log[[#This Row],[COURSE NAME:]]) -1)</f>
        <v/>
      </c>
      <c r="S60" s="62">
        <f>MID(Train_Log[[#This Row],[COURSE NAME:]],FIND(" - ", Train_Log[[#This Row],[COURSE NAME:]]), 13)</f>
        <v/>
      </c>
      <c r="T60" s="62">
        <f>MID(E60, FIND(" - ", E60) + 3, LEN(E60)) &amp; "_" &amp; TEXT(F60, "yyyymmdd") &amp; "_" &amp; TEXT(H60, "yyyymmdd")</f>
        <v/>
      </c>
    </row>
    <row r="61">
      <c r="B61" s="38" t="inlineStr">
        <is>
          <t>EE28</t>
        </is>
      </c>
      <c r="C61" s="38" t="inlineStr">
        <is>
          <t>No</t>
        </is>
      </c>
      <c r="D61" s="39" t="inlineStr">
        <is>
          <t>4924594</t>
        </is>
      </c>
      <c r="E61" s="38" t="inlineStr">
        <is>
          <t>PHONES - BENEFITS</t>
        </is>
      </c>
      <c r="F61" s="40" t="n">
        <v>45618</v>
      </c>
      <c r="G61" s="40" t="n">
        <v>45620</v>
      </c>
      <c r="H61" s="40" t="n">
        <v>45620</v>
      </c>
      <c r="I61" s="41" t="n">
        <v>4</v>
      </c>
      <c r="J61" s="41" t="n">
        <v>4</v>
      </c>
      <c r="K61" s="38" t="inlineStr">
        <is>
          <t>TR 7</t>
        </is>
      </c>
      <c r="L61" s="38" t="inlineStr">
        <is>
          <t>TR 4</t>
        </is>
      </c>
      <c r="M61" s="38" t="inlineStr">
        <is>
          <t>--</t>
        </is>
      </c>
      <c r="N61" s="38" t="inlineStr">
        <is>
          <t>--</t>
        </is>
      </c>
      <c r="O61" s="38" t="inlineStr">
        <is>
          <t>JJH</t>
        </is>
      </c>
      <c r="P61" s="44" t="n"/>
      <c r="Q61" s="62">
        <f>IF(C61="Yes", 1, IF(C61="no", 0, IF(C61= "tardy", SUM(J61/I61),"")))</f>
        <v/>
      </c>
      <c r="R61" s="62">
        <f>LEFT(Train_Log[[#This Row],[COURSE NAME:]],FIND(" - ", Train_Log[[#This Row],[COURSE NAME:]]) -1)</f>
        <v/>
      </c>
      <c r="S61" s="62">
        <f>MID(Train_Log[[#This Row],[COURSE NAME:]],FIND(" - ", Train_Log[[#This Row],[COURSE NAME:]]), 13)</f>
        <v/>
      </c>
      <c r="T61" s="62">
        <f>MID(E61, FIND(" - ", E61) + 3, LEN(E61)) &amp; "_" &amp; TEXT(F61, "yyyymmdd") &amp; "_" &amp; TEXT(H61, "yyyymmdd")</f>
        <v/>
      </c>
    </row>
    <row r="62">
      <c r="B62" s="38" t="inlineStr">
        <is>
          <t>EE20</t>
        </is>
      </c>
      <c r="C62" s="38" t="inlineStr">
        <is>
          <t>No</t>
        </is>
      </c>
      <c r="D62" s="39" t="inlineStr">
        <is>
          <t>6525049</t>
        </is>
      </c>
      <c r="E62" s="38" t="inlineStr">
        <is>
          <t>SUPPORT - TRAINING - PTSP TRAINING</t>
        </is>
      </c>
      <c r="F62" s="40" t="n">
        <v>45403</v>
      </c>
      <c r="G62" s="40" t="n">
        <v>45407</v>
      </c>
      <c r="H62" s="40" t="n">
        <v>45407</v>
      </c>
      <c r="I62" s="41" t="n">
        <v>8</v>
      </c>
      <c r="J62" s="41" t="n">
        <v>8</v>
      </c>
      <c r="K62" s="38" t="inlineStr">
        <is>
          <t>TR 2</t>
        </is>
      </c>
      <c r="L62" s="38" t="inlineStr">
        <is>
          <t>TR 10</t>
        </is>
      </c>
      <c r="M62" s="38" t="inlineStr">
        <is>
          <t>--</t>
        </is>
      </c>
      <c r="N62" s="38" t="inlineStr">
        <is>
          <t>--</t>
        </is>
      </c>
      <c r="O62" s="38" t="inlineStr">
        <is>
          <t>JJH</t>
        </is>
      </c>
      <c r="P62" s="59" t="n"/>
      <c r="Q62" s="62">
        <f>IF(C62="Yes", 1, IF(C62="no", 0, IF(C62= "tardy", SUM(J62/I62),"")))</f>
        <v/>
      </c>
      <c r="R62" s="62">
        <f>LEFT(Train_Log[[#This Row],[COURSE NAME:]],FIND(" - ", Train_Log[[#This Row],[COURSE NAME:]]) -1)</f>
        <v/>
      </c>
      <c r="S62" s="62">
        <f>MID(Train_Log[[#This Row],[COURSE NAME:]],FIND(" - ", Train_Log[[#This Row],[COURSE NAME:]]), 13)</f>
        <v/>
      </c>
      <c r="T62" s="62">
        <f>MID(E62, FIND(" - ", E62) + 3, LEN(E62)) &amp; "_" &amp; TEXT(F62, "yyyymmdd") &amp; "_" &amp; TEXT(H62, "yyyymmdd")</f>
        <v/>
      </c>
    </row>
    <row r="63">
      <c r="B63" s="38" t="inlineStr">
        <is>
          <t>EE11</t>
        </is>
      </c>
      <c r="C63" s="38" t="inlineStr">
        <is>
          <t>No</t>
        </is>
      </c>
      <c r="D63" s="39" t="inlineStr">
        <is>
          <t>4364647</t>
        </is>
      </c>
      <c r="E63" s="38" t="inlineStr">
        <is>
          <t>LWOP - HCES SUPERUSER TRAINING</t>
        </is>
      </c>
      <c r="F63" s="40" t="n">
        <v>45737</v>
      </c>
      <c r="G63" s="40" t="n">
        <v>45741</v>
      </c>
      <c r="H63" s="40" t="n">
        <v>45741</v>
      </c>
      <c r="I63" s="41" t="n">
        <v>8</v>
      </c>
      <c r="J63" s="41" t="n">
        <v>8</v>
      </c>
      <c r="K63" s="38" t="inlineStr">
        <is>
          <t>TR 6</t>
        </is>
      </c>
      <c r="L63" s="38" t="inlineStr">
        <is>
          <t>TR 1</t>
        </is>
      </c>
      <c r="M63" s="38" t="inlineStr">
        <is>
          <t>--</t>
        </is>
      </c>
      <c r="N63" s="38" t="inlineStr">
        <is>
          <t>--</t>
        </is>
      </c>
      <c r="O63" s="38" t="inlineStr">
        <is>
          <t>JJH</t>
        </is>
      </c>
      <c r="P63" s="59" t="n"/>
      <c r="Q63" s="62">
        <f>IF(C63="Yes", 1, IF(C63="no", 0, IF(C63= "tardy", SUM(J63/I63),"")))</f>
        <v/>
      </c>
      <c r="R63" s="62">
        <f>LEFT(Train_Log[[#This Row],[COURSE NAME:]],FIND(" - ", Train_Log[[#This Row],[COURSE NAME:]]) -1)</f>
        <v/>
      </c>
      <c r="S63" s="62">
        <f>MID(Train_Log[[#This Row],[COURSE NAME:]],FIND(" - ", Train_Log[[#This Row],[COURSE NAME:]]), 13)</f>
        <v/>
      </c>
      <c r="T63" s="62">
        <f>MID(E63, FIND(" - ", E63) + 3, LEN(E63)) &amp; "_" &amp; TEXT(F63, "yyyymmdd") &amp; "_" &amp; TEXT(H63, "yyyymmdd")</f>
        <v/>
      </c>
    </row>
    <row r="64">
      <c r="B64" s="38" t="inlineStr">
        <is>
          <t>EE108</t>
        </is>
      </c>
      <c r="C64" s="38" t="inlineStr">
        <is>
          <t>No</t>
        </is>
      </c>
      <c r="D64" s="39" t="inlineStr">
        <is>
          <t>4884926</t>
        </is>
      </c>
      <c r="E64" s="38" t="inlineStr">
        <is>
          <t>OPTIONAL RETIREMENTS - MAILBUILD</t>
        </is>
      </c>
      <c r="F64" s="40" t="n">
        <v>45407</v>
      </c>
      <c r="G64" s="40" t="n">
        <v>45408</v>
      </c>
      <c r="H64" s="40" t="n">
        <v>45408</v>
      </c>
      <c r="I64" s="41" t="n">
        <v>4</v>
      </c>
      <c r="J64" s="41" t="n">
        <v>4</v>
      </c>
      <c r="K64" s="38" t="inlineStr">
        <is>
          <t>TR 3</t>
        </is>
      </c>
      <c r="L64" s="38" t="inlineStr">
        <is>
          <t>TR 7</t>
        </is>
      </c>
      <c r="M64" s="38" t="inlineStr">
        <is>
          <t>--</t>
        </is>
      </c>
      <c r="N64" s="38" t="inlineStr">
        <is>
          <t>--</t>
        </is>
      </c>
      <c r="O64" s="38" t="inlineStr">
        <is>
          <t>JJH</t>
        </is>
      </c>
      <c r="P64" s="59" t="n"/>
      <c r="Q64" s="62">
        <f>IF(C64="Yes", 1, IF(C64="no", 0, IF(C64= "tardy", SUM(J64/I64),"")))</f>
        <v/>
      </c>
      <c r="R64" s="62">
        <f>LEFT(Train_Log[[#This Row],[COURSE NAME:]],FIND(" - ", Train_Log[[#This Row],[COURSE NAME:]]) -1)</f>
        <v/>
      </c>
      <c r="S64" s="62">
        <f>MID(Train_Log[[#This Row],[COURSE NAME:]],FIND(" - ", Train_Log[[#This Row],[COURSE NAME:]]), 13)</f>
        <v/>
      </c>
      <c r="T64" s="62">
        <f>MID(E64, FIND(" - ", E64) + 3, LEN(E64)) &amp; "_" &amp; TEXT(F64, "yyyymmdd") &amp; "_" &amp; TEXT(H64, "yyyymmdd")</f>
        <v/>
      </c>
    </row>
    <row r="65">
      <c r="B65" s="38" t="inlineStr">
        <is>
          <t>EE46</t>
        </is>
      </c>
      <c r="C65" s="38" t="inlineStr">
        <is>
          <t>No</t>
        </is>
      </c>
      <c r="D65" s="39" t="inlineStr">
        <is>
          <t>5442654</t>
        </is>
      </c>
      <c r="E65" s="38" t="inlineStr">
        <is>
          <t>RTR - EFORM SEPARATIONS TRAINING</t>
        </is>
      </c>
      <c r="F65" s="40" t="n">
        <v>45794</v>
      </c>
      <c r="G65" s="40" t="n">
        <v>45795</v>
      </c>
      <c r="H65" s="40" t="n">
        <v>45795</v>
      </c>
      <c r="I65" s="41" t="n">
        <v>8</v>
      </c>
      <c r="J65" s="41" t="n">
        <v>8</v>
      </c>
      <c r="K65" s="38" t="inlineStr">
        <is>
          <t>TR 5</t>
        </is>
      </c>
      <c r="L65" s="38" t="inlineStr">
        <is>
          <t>TR 6</t>
        </is>
      </c>
      <c r="M65" s="38" t="inlineStr">
        <is>
          <t>--</t>
        </is>
      </c>
      <c r="N65" s="38" t="inlineStr">
        <is>
          <t>--</t>
        </is>
      </c>
      <c r="O65" s="38" t="inlineStr">
        <is>
          <t>JJH</t>
        </is>
      </c>
      <c r="P65" s="59" t="n"/>
      <c r="Q65" s="62">
        <f>IF(C65="Yes", 1, IF(C65="no", 0, IF(C65= "tardy", SUM(J65/I65),"")))</f>
        <v/>
      </c>
      <c r="R65" s="62">
        <f>LEFT(Train_Log[[#This Row],[COURSE NAME:]],FIND(" - ", Train_Log[[#This Row],[COURSE NAME:]]) -1)</f>
        <v/>
      </c>
      <c r="S65" s="62">
        <f>MID(Train_Log[[#This Row],[COURSE NAME:]],FIND(" - ", Train_Log[[#This Row],[COURSE NAME:]]), 13)</f>
        <v/>
      </c>
      <c r="T65" s="62">
        <f>MID(E65, FIND(" - ", E65) + 3, LEN(E65)) &amp; "_" &amp; TEXT(F65, "yyyymmdd") &amp; "_" &amp; TEXT(H65, "yyyymmdd")</f>
        <v/>
      </c>
    </row>
    <row r="66">
      <c r="B66" s="38" t="inlineStr">
        <is>
          <t>EE63</t>
        </is>
      </c>
      <c r="C66" s="38" t="inlineStr">
        <is>
          <t>No</t>
        </is>
      </c>
      <c r="D66" s="39" t="inlineStr">
        <is>
          <t>4291735</t>
        </is>
      </c>
      <c r="E66" s="38" t="inlineStr">
        <is>
          <t>PHONES - EMPLOYMENT VERIFICATION</t>
        </is>
      </c>
      <c r="F66" s="44" t="n">
        <v>45584</v>
      </c>
      <c r="G66" s="40" t="n">
        <v>45585</v>
      </c>
      <c r="H66" s="44" t="n">
        <v>45585</v>
      </c>
      <c r="I66" s="41" t="n">
        <v>4</v>
      </c>
      <c r="J66" s="42" t="n">
        <v>4</v>
      </c>
      <c r="K66" s="38" t="inlineStr">
        <is>
          <t>TR 10</t>
        </is>
      </c>
      <c r="L66" s="38" t="inlineStr">
        <is>
          <t>TR 10</t>
        </is>
      </c>
      <c r="M66" s="38" t="inlineStr">
        <is>
          <t>--</t>
        </is>
      </c>
      <c r="N66" s="38" t="inlineStr">
        <is>
          <t>--</t>
        </is>
      </c>
      <c r="O66" s="38" t="inlineStr">
        <is>
          <t>JJH</t>
        </is>
      </c>
      <c r="Q66" s="62">
        <f>IF(C66="Yes", 1, IF(C66="no", 0, IF(C66= "tardy", SUM(J66/I66),"")))</f>
        <v/>
      </c>
      <c r="R66" s="62">
        <f>LEFT(Train_Log[[#This Row],[COURSE NAME:]],FIND(" - ", Train_Log[[#This Row],[COURSE NAME:]]) -1)</f>
        <v/>
      </c>
      <c r="S66" s="62">
        <f>MID(Train_Log[[#This Row],[COURSE NAME:]],FIND(" - ", Train_Log[[#This Row],[COURSE NAME:]]), 13)</f>
        <v/>
      </c>
      <c r="T66" s="62">
        <f>MID(E66, FIND(" - ", E66) + 3, LEN(E66)) &amp; "_" &amp; TEXT(F66, "yyyymmdd") &amp; "_" &amp; TEXT(H66, "yyyymmdd")</f>
        <v/>
      </c>
    </row>
    <row r="67">
      <c r="B67" s="38" t="inlineStr">
        <is>
          <t>EE172</t>
        </is>
      </c>
      <c r="C67" s="38" t="inlineStr">
        <is>
          <t>No</t>
        </is>
      </c>
      <c r="D67" s="39" t="inlineStr">
        <is>
          <t>6129292</t>
        </is>
      </c>
      <c r="E67" s="38" t="inlineStr">
        <is>
          <t>LWOP - HCES SU FACILITATION TRAINING</t>
        </is>
      </c>
      <c r="F67" s="44" t="n">
        <v>45643</v>
      </c>
      <c r="G67" s="40" t="n">
        <v>45643</v>
      </c>
      <c r="H67" s="44" t="n">
        <v>45643</v>
      </c>
      <c r="I67" s="41" t="n">
        <v>3</v>
      </c>
      <c r="J67" s="42" t="n">
        <v>3</v>
      </c>
      <c r="K67" s="38" t="inlineStr">
        <is>
          <t>TR 3</t>
        </is>
      </c>
      <c r="L67" s="38" t="inlineStr">
        <is>
          <t>TR 8</t>
        </is>
      </c>
      <c r="M67" s="38" t="inlineStr">
        <is>
          <t>--</t>
        </is>
      </c>
      <c r="N67" s="38" t="inlineStr">
        <is>
          <t>--</t>
        </is>
      </c>
      <c r="O67" s="38" t="inlineStr">
        <is>
          <t>JJH</t>
        </is>
      </c>
      <c r="Q67" s="62">
        <f>IF(C67="Yes", 1, IF(C67="no", 0, IF(C67= "tardy", SUM(J67/I67),"")))</f>
        <v/>
      </c>
      <c r="R67" s="62">
        <f>LEFT(Train_Log[[#This Row],[COURSE NAME:]],FIND(" - ", Train_Log[[#This Row],[COURSE NAME:]]) -1)</f>
        <v/>
      </c>
      <c r="S67" s="62">
        <f>MID(Train_Log[[#This Row],[COURSE NAME:]],FIND(" - ", Train_Log[[#This Row],[COURSE NAME:]]), 13)</f>
        <v/>
      </c>
      <c r="T67" s="62">
        <f>MID(E67, FIND(" - ", E67) + 3, LEN(E67)) &amp; "_" &amp; TEXT(F67, "yyyymmdd") &amp; "_" &amp; TEXT(H67, "yyyymmdd")</f>
        <v/>
      </c>
    </row>
    <row r="68">
      <c r="B68" s="38" t="inlineStr">
        <is>
          <t>EE55</t>
        </is>
      </c>
      <c r="C68" s="38" t="inlineStr">
        <is>
          <t>No</t>
        </is>
      </c>
      <c r="D68" s="39" t="inlineStr">
        <is>
          <t>6315426</t>
        </is>
      </c>
      <c r="E68" s="38" t="inlineStr">
        <is>
          <t>LWOP - HCES SUPERUSER TRAINING</t>
        </is>
      </c>
      <c r="F68" s="44" t="n">
        <v>45563</v>
      </c>
      <c r="G68" s="40" t="n">
        <v>45563</v>
      </c>
      <c r="H68" s="44" t="n">
        <v>45563</v>
      </c>
      <c r="I68" s="41" t="n">
        <v>8</v>
      </c>
      <c r="J68" s="42" t="n">
        <v>8</v>
      </c>
      <c r="K68" s="38" t="inlineStr">
        <is>
          <t>TR 5</t>
        </is>
      </c>
      <c r="L68" s="38" t="inlineStr">
        <is>
          <t>TR 9</t>
        </is>
      </c>
      <c r="M68" s="38" t="inlineStr">
        <is>
          <t>--</t>
        </is>
      </c>
      <c r="N68" s="38" t="inlineStr">
        <is>
          <t>--</t>
        </is>
      </c>
      <c r="O68" s="38" t="inlineStr">
        <is>
          <t>JJH</t>
        </is>
      </c>
      <c r="Q68" s="62">
        <f>IF(C68="Yes", 1, IF(C68="no", 0, IF(C68= "tardy", SUM(J68/I68),"")))</f>
        <v/>
      </c>
      <c r="R68" s="62">
        <f>LEFT(Train_Log[[#This Row],[COURSE NAME:]],FIND(" - ", Train_Log[[#This Row],[COURSE NAME:]]) -1)</f>
        <v/>
      </c>
      <c r="S68" s="62">
        <f>MID(Train_Log[[#This Row],[COURSE NAME:]],FIND(" - ", Train_Log[[#This Row],[COURSE NAME:]]), 13)</f>
        <v/>
      </c>
      <c r="T68" s="62">
        <f>MID(E68, FIND(" - ", E68) + 3, LEN(E68)) &amp; "_" &amp; TEXT(F68, "yyyymmdd") &amp; "_" &amp; TEXT(H68, "yyyymmdd")</f>
        <v/>
      </c>
    </row>
    <row r="69">
      <c r="B69" s="38" t="inlineStr">
        <is>
          <t>EE3</t>
        </is>
      </c>
      <c r="C69" s="38" t="inlineStr">
        <is>
          <t>No</t>
        </is>
      </c>
      <c r="D69" s="39" t="inlineStr">
        <is>
          <t>4104902</t>
        </is>
      </c>
      <c r="E69" s="38" t="inlineStr">
        <is>
          <t>SUPPORT - TRAINING - PTSP TRAINING</t>
        </is>
      </c>
      <c r="F69" s="44" t="n">
        <v>45386</v>
      </c>
      <c r="G69" s="40" t="n">
        <v>45386</v>
      </c>
      <c r="H69" s="44" t="n">
        <v>45386</v>
      </c>
      <c r="I69" s="41" t="n">
        <v>4</v>
      </c>
      <c r="J69" s="42" t="n">
        <v>4</v>
      </c>
      <c r="K69" s="38" t="inlineStr">
        <is>
          <t>TR 9</t>
        </is>
      </c>
      <c r="L69" s="38" t="inlineStr">
        <is>
          <t>TR 4</t>
        </is>
      </c>
      <c r="M69" s="38" t="inlineStr">
        <is>
          <t>--</t>
        </is>
      </c>
      <c r="N69" s="38" t="inlineStr">
        <is>
          <t>--</t>
        </is>
      </c>
      <c r="O69" s="38" t="inlineStr">
        <is>
          <t>JJH</t>
        </is>
      </c>
      <c r="Q69" s="62">
        <f>IF(C69="Yes", 1, IF(C69="no", 0, IF(C69= "tardy", SUM(J69/I69),"")))</f>
        <v/>
      </c>
      <c r="R69" s="62">
        <f>LEFT(Train_Log[[#This Row],[COURSE NAME:]],FIND(" - ", Train_Log[[#This Row],[COURSE NAME:]]) -1)</f>
        <v/>
      </c>
      <c r="S69" s="62">
        <f>MID(Train_Log[[#This Row],[COURSE NAME:]],FIND(" - ", Train_Log[[#This Row],[COURSE NAME:]]), 13)</f>
        <v/>
      </c>
      <c r="T69" s="62">
        <f>MID(E69, FIND(" - ", E69) + 3, LEN(E69)) &amp; "_" &amp; TEXT(F69, "yyyymmdd") &amp; "_" &amp; TEXT(H69, "yyyymmdd")</f>
        <v/>
      </c>
    </row>
    <row r="70">
      <c r="B70" s="38" t="inlineStr">
        <is>
          <t>EE177</t>
        </is>
      </c>
      <c r="C70" s="38" t="inlineStr">
        <is>
          <t>No</t>
        </is>
      </c>
      <c r="D70" s="39" t="inlineStr">
        <is>
          <t>4677585</t>
        </is>
      </c>
      <c r="E70" s="38" t="inlineStr">
        <is>
          <t>OPTIONAL RETIREMENTS - MAILBUILD</t>
        </is>
      </c>
      <c r="F70" s="44" t="n">
        <v>45801</v>
      </c>
      <c r="G70" s="40" t="n">
        <v>45802</v>
      </c>
      <c r="H70" s="44" t="n">
        <v>45802</v>
      </c>
      <c r="I70" s="41" t="n">
        <v>2</v>
      </c>
      <c r="J70" s="42" t="n">
        <v>2</v>
      </c>
      <c r="K70" s="38" t="inlineStr">
        <is>
          <t>TR 5</t>
        </is>
      </c>
      <c r="L70" s="38" t="inlineStr">
        <is>
          <t>TR 4</t>
        </is>
      </c>
      <c r="M70" s="38" t="inlineStr">
        <is>
          <t>--</t>
        </is>
      </c>
      <c r="N70" s="38" t="inlineStr">
        <is>
          <t>--</t>
        </is>
      </c>
      <c r="O70" s="38" t="inlineStr">
        <is>
          <t>JJH</t>
        </is>
      </c>
      <c r="Q70" s="62">
        <f>IF(C70="Yes", 1, IF(C70="no", 0, IF(C70= "tardy", SUM(J70/I70),"")))</f>
        <v/>
      </c>
      <c r="R70" s="62">
        <f>LEFT(Train_Log[[#This Row],[COURSE NAME:]],FIND(" - ", Train_Log[[#This Row],[COURSE NAME:]]) -1)</f>
        <v/>
      </c>
      <c r="S70" s="62">
        <f>MID(Train_Log[[#This Row],[COURSE NAME:]],FIND(" - ", Train_Log[[#This Row],[COURSE NAME:]]), 13)</f>
        <v/>
      </c>
      <c r="T70" s="62">
        <f>MID(E70, FIND(" - ", E70) + 3, LEN(E70)) &amp; "_" &amp; TEXT(F70, "yyyymmdd") &amp; "_" &amp; TEXT(H70, "yyyymmdd")</f>
        <v/>
      </c>
    </row>
    <row r="71">
      <c r="B71" s="38" t="inlineStr">
        <is>
          <t>EE104</t>
        </is>
      </c>
      <c r="C71" s="38" t="inlineStr">
        <is>
          <t>No</t>
        </is>
      </c>
      <c r="D71" s="39" t="inlineStr">
        <is>
          <t>5323105</t>
        </is>
      </c>
      <c r="E71" s="38" t="inlineStr">
        <is>
          <t>SUPPORT - TRAINING - PTSP TRAINING</t>
        </is>
      </c>
      <c r="F71" s="44" t="n">
        <v>45612</v>
      </c>
      <c r="G71" s="40" t="n">
        <v>45616</v>
      </c>
      <c r="H71" s="44" t="n">
        <v>45616</v>
      </c>
      <c r="I71" s="41" t="n">
        <v>4</v>
      </c>
      <c r="J71" s="42" t="n">
        <v>4</v>
      </c>
      <c r="K71" s="38" t="inlineStr">
        <is>
          <t>TR 9</t>
        </is>
      </c>
      <c r="L71" s="38" t="inlineStr">
        <is>
          <t>TR 9</t>
        </is>
      </c>
      <c r="M71" s="38" t="inlineStr">
        <is>
          <t>--</t>
        </is>
      </c>
      <c r="N71" s="38" t="inlineStr">
        <is>
          <t>--</t>
        </is>
      </c>
      <c r="O71" s="38" t="inlineStr">
        <is>
          <t>JJH</t>
        </is>
      </c>
      <c r="Q71" s="62">
        <f>IF(C71="Yes", 1, IF(C71="no", 0, IF(C71= "tardy", SUM(J71/I71),"")))</f>
        <v/>
      </c>
      <c r="R71" s="62">
        <f>LEFT(Train_Log[[#This Row],[COURSE NAME:]],FIND(" - ", Train_Log[[#This Row],[COURSE NAME:]]) -1)</f>
        <v/>
      </c>
      <c r="S71" s="62">
        <f>MID(Train_Log[[#This Row],[COURSE NAME:]],FIND(" - ", Train_Log[[#This Row],[COURSE NAME:]]), 13)</f>
        <v/>
      </c>
      <c r="T71" s="62">
        <f>MID(E71, FIND(" - ", E71) + 3, LEN(E71)) &amp; "_" &amp; TEXT(F71, "yyyymmdd") &amp; "_" &amp; TEXT(H71, "yyyymmdd")</f>
        <v/>
      </c>
    </row>
    <row r="72">
      <c r="B72" s="38" t="inlineStr">
        <is>
          <t>EE89</t>
        </is>
      </c>
      <c r="C72" s="38" t="inlineStr">
        <is>
          <t>No</t>
        </is>
      </c>
      <c r="D72" s="39" t="inlineStr">
        <is>
          <t>6240345</t>
        </is>
      </c>
      <c r="E72" s="38" t="inlineStr">
        <is>
          <t>LWOP - HCES SU FACILITATION TRAINING</t>
        </is>
      </c>
      <c r="F72" s="44" t="n">
        <v>45637</v>
      </c>
      <c r="G72" s="40" t="n">
        <v>45637</v>
      </c>
      <c r="H72" s="44" t="n">
        <v>45637</v>
      </c>
      <c r="I72" s="41" t="n">
        <v>3</v>
      </c>
      <c r="J72" s="42" t="n">
        <v>3</v>
      </c>
      <c r="K72" s="38" t="inlineStr">
        <is>
          <t>TR 5</t>
        </is>
      </c>
      <c r="L72" s="38" t="inlineStr">
        <is>
          <t>TR 5</t>
        </is>
      </c>
      <c r="M72" s="38" t="inlineStr">
        <is>
          <t>--</t>
        </is>
      </c>
      <c r="N72" s="38" t="inlineStr">
        <is>
          <t>--</t>
        </is>
      </c>
      <c r="O72" s="38" t="inlineStr">
        <is>
          <t>JJH</t>
        </is>
      </c>
      <c r="Q72" s="62">
        <f>IF(C72="Yes", 1, IF(C72="no", 0, IF(C72= "tardy", SUM(J72/I72),"")))</f>
        <v/>
      </c>
      <c r="R72" s="62">
        <f>LEFT(Train_Log[[#This Row],[COURSE NAME:]],FIND(" - ", Train_Log[[#This Row],[COURSE NAME:]]) -1)</f>
        <v/>
      </c>
      <c r="S72" s="62">
        <f>MID(Train_Log[[#This Row],[COURSE NAME:]],FIND(" - ", Train_Log[[#This Row],[COURSE NAME:]]), 13)</f>
        <v/>
      </c>
      <c r="T72" s="62">
        <f>MID(E72, FIND(" - ", E72) + 3, LEN(E72)) &amp; "_" &amp; TEXT(F72, "yyyymmdd") &amp; "_" &amp; TEXT(H72, "yyyymmdd")</f>
        <v/>
      </c>
    </row>
    <row r="73">
      <c r="B73" s="38" t="inlineStr">
        <is>
          <t>EE60</t>
        </is>
      </c>
      <c r="C73" s="38" t="inlineStr">
        <is>
          <t>No</t>
        </is>
      </c>
      <c r="D73" s="39" t="inlineStr">
        <is>
          <t>6421590</t>
        </is>
      </c>
      <c r="E73" s="38" t="inlineStr">
        <is>
          <t>PHONES - EMPLOYMENT VERIFICATION</t>
        </is>
      </c>
      <c r="F73" s="44" t="n">
        <v>45496</v>
      </c>
      <c r="G73" s="40" t="n">
        <v>45496</v>
      </c>
      <c r="H73" s="44" t="n">
        <v>45496</v>
      </c>
      <c r="I73" s="41" t="n">
        <v>8</v>
      </c>
      <c r="J73" s="42" t="n">
        <v>8</v>
      </c>
      <c r="K73" s="38" t="inlineStr">
        <is>
          <t>TR 3</t>
        </is>
      </c>
      <c r="L73" s="38" t="inlineStr">
        <is>
          <t>TR 4</t>
        </is>
      </c>
      <c r="M73" s="38" t="inlineStr">
        <is>
          <t>--</t>
        </is>
      </c>
      <c r="N73" s="38" t="inlineStr">
        <is>
          <t>--</t>
        </is>
      </c>
      <c r="O73" s="38" t="inlineStr">
        <is>
          <t>JJH</t>
        </is>
      </c>
      <c r="Q73" s="62">
        <f>IF(C73="Yes", 1, IF(C73="no", 0, IF(C73= "tardy", SUM(J73/I73),"")))</f>
        <v/>
      </c>
      <c r="R73" s="62">
        <f>LEFT(Train_Log[[#This Row],[COURSE NAME:]],FIND(" - ", Train_Log[[#This Row],[COURSE NAME:]]) -1)</f>
        <v/>
      </c>
      <c r="S73" s="62">
        <f>MID(Train_Log[[#This Row],[COURSE NAME:]],FIND(" - ", Train_Log[[#This Row],[COURSE NAME:]]), 13)</f>
        <v/>
      </c>
      <c r="T73" s="62">
        <f>MID(E73, FIND(" - ", E73) + 3, LEN(E73)) &amp; "_" &amp; TEXT(F73, "yyyymmdd") &amp; "_" &amp; TEXT(H73, "yyyymmdd")</f>
        <v/>
      </c>
    </row>
    <row r="74">
      <c r="B74" s="38" t="inlineStr">
        <is>
          <t>EE56</t>
        </is>
      </c>
      <c r="C74" s="38" t="inlineStr">
        <is>
          <t>No</t>
        </is>
      </c>
      <c r="D74" s="39" t="inlineStr">
        <is>
          <t>5229678</t>
        </is>
      </c>
      <c r="E74" s="38" t="inlineStr">
        <is>
          <t>OPTIONAL RETIREMENTS - MAILBUILD</t>
        </is>
      </c>
      <c r="F74" s="44" t="n">
        <v>45582</v>
      </c>
      <c r="G74" s="40" t="n">
        <v>45586</v>
      </c>
      <c r="H74" s="44" t="n">
        <v>45586</v>
      </c>
      <c r="I74" s="41" t="n">
        <v>8</v>
      </c>
      <c r="J74" s="42" t="n">
        <v>8</v>
      </c>
      <c r="K74" s="38" t="inlineStr">
        <is>
          <t>TR 10</t>
        </is>
      </c>
      <c r="L74" s="38" t="inlineStr">
        <is>
          <t>TR 5</t>
        </is>
      </c>
      <c r="M74" s="38" t="inlineStr">
        <is>
          <t>--</t>
        </is>
      </c>
      <c r="N74" s="38" t="inlineStr">
        <is>
          <t>--</t>
        </is>
      </c>
      <c r="O74" s="38" t="inlineStr">
        <is>
          <t>JJH</t>
        </is>
      </c>
      <c r="Q74" s="62">
        <f>IF(C74="Yes", 1, IF(C74="no", 0, IF(C74= "tardy", SUM(J74/I74),"")))</f>
        <v/>
      </c>
      <c r="R74" s="62">
        <f>LEFT(Train_Log[[#This Row],[COURSE NAME:]],FIND(" - ", Train_Log[[#This Row],[COURSE NAME:]]) -1)</f>
        <v/>
      </c>
      <c r="S74" s="62">
        <f>MID(Train_Log[[#This Row],[COURSE NAME:]],FIND(" - ", Train_Log[[#This Row],[COURSE NAME:]]), 13)</f>
        <v/>
      </c>
      <c r="T74" s="62">
        <f>MID(E74, FIND(" - ", E74) + 3, LEN(E74)) &amp; "_" &amp; TEXT(F74, "yyyymmdd") &amp; "_" &amp; TEXT(H74, "yyyymmdd")</f>
        <v/>
      </c>
    </row>
    <row r="75">
      <c r="B75" s="38" t="inlineStr">
        <is>
          <t>EE26</t>
        </is>
      </c>
      <c r="C75" s="38" t="inlineStr">
        <is>
          <t>No</t>
        </is>
      </c>
      <c r="D75" s="39" t="inlineStr">
        <is>
          <t>6285650</t>
        </is>
      </c>
      <c r="E75" s="38" t="inlineStr">
        <is>
          <t>SUPPORT - TRAINING - PTSP TRAINING</t>
        </is>
      </c>
      <c r="F75" s="44" t="n">
        <v>45602</v>
      </c>
      <c r="G75" s="40" t="n">
        <v>45602</v>
      </c>
      <c r="H75" s="44" t="n">
        <v>45602</v>
      </c>
      <c r="I75" s="41" t="n">
        <v>3</v>
      </c>
      <c r="J75" s="42" t="n">
        <v>3</v>
      </c>
      <c r="K75" s="38" t="inlineStr">
        <is>
          <t>TR 1</t>
        </is>
      </c>
      <c r="L75" s="38" t="inlineStr">
        <is>
          <t>TR 9</t>
        </is>
      </c>
      <c r="M75" s="38" t="inlineStr">
        <is>
          <t>--</t>
        </is>
      </c>
      <c r="N75" s="38" t="inlineStr">
        <is>
          <t>--</t>
        </is>
      </c>
      <c r="O75" s="38" t="inlineStr">
        <is>
          <t>JJH</t>
        </is>
      </c>
      <c r="Q75" s="62">
        <f>IF(C75="Yes", 1, IF(C75="no", 0, IF(C75= "tardy", SUM(J75/I75),"")))</f>
        <v/>
      </c>
      <c r="R75" s="62">
        <f>LEFT(Train_Log[[#This Row],[COURSE NAME:]],FIND(" - ", Train_Log[[#This Row],[COURSE NAME:]]) -1)</f>
        <v/>
      </c>
      <c r="S75" s="62">
        <f>MID(Train_Log[[#This Row],[COURSE NAME:]],FIND(" - ", Train_Log[[#This Row],[COURSE NAME:]]), 13)</f>
        <v/>
      </c>
      <c r="T75" s="62">
        <f>MID(E75, FIND(" - ", E75) + 3, LEN(E75)) &amp; "_" &amp; TEXT(F75, "yyyymmdd") &amp; "_" &amp; TEXT(H75, "yyyymmdd")</f>
        <v/>
      </c>
    </row>
    <row r="76">
      <c r="B76" s="38" t="inlineStr">
        <is>
          <t>EE33</t>
        </is>
      </c>
      <c r="C76" s="38" t="inlineStr">
        <is>
          <t>No</t>
        </is>
      </c>
      <c r="D76" s="39" t="inlineStr">
        <is>
          <t>4669659</t>
        </is>
      </c>
      <c r="E76" s="38" t="inlineStr">
        <is>
          <t>RTR - EFORM SEPARATIONS TRAINING</t>
        </is>
      </c>
      <c r="F76" s="44" t="n">
        <v>45345</v>
      </c>
      <c r="G76" s="40" t="n">
        <v>45345</v>
      </c>
      <c r="H76" s="44" t="n">
        <v>45345</v>
      </c>
      <c r="I76" s="41" t="n">
        <v>2</v>
      </c>
      <c r="J76" s="42" t="n">
        <v>2</v>
      </c>
      <c r="K76" s="38" t="inlineStr">
        <is>
          <t>TR 8</t>
        </is>
      </c>
      <c r="L76" s="38" t="inlineStr">
        <is>
          <t>TR 2</t>
        </is>
      </c>
      <c r="M76" s="38" t="inlineStr">
        <is>
          <t>--</t>
        </is>
      </c>
      <c r="N76" s="38" t="inlineStr">
        <is>
          <t>--</t>
        </is>
      </c>
      <c r="O76" s="38" t="inlineStr">
        <is>
          <t>JJH</t>
        </is>
      </c>
      <c r="Q76" s="62">
        <f>IF(C76="Yes", 1, IF(C76="no", 0, IF(C76= "tardy", SUM(J76/I76),"")))</f>
        <v/>
      </c>
      <c r="R76" s="62">
        <f>LEFT(Train_Log[[#This Row],[COURSE NAME:]],FIND(" - ", Train_Log[[#This Row],[COURSE NAME:]]) -1)</f>
        <v/>
      </c>
      <c r="S76" s="62">
        <f>MID(Train_Log[[#This Row],[COURSE NAME:]],FIND(" - ", Train_Log[[#This Row],[COURSE NAME:]]), 13)</f>
        <v/>
      </c>
      <c r="T76" s="62">
        <f>MID(E76, FIND(" - ", E76) + 3, LEN(E76)) &amp; "_" &amp; TEXT(F76, "yyyymmdd") &amp; "_" &amp; TEXT(H76, "yyyymmdd")</f>
        <v/>
      </c>
    </row>
    <row r="77">
      <c r="B77" s="38" t="inlineStr">
        <is>
          <t>EE4</t>
        </is>
      </c>
      <c r="C77" s="38" t="inlineStr">
        <is>
          <t>No</t>
        </is>
      </c>
      <c r="D77" s="39" t="inlineStr">
        <is>
          <t>5153556</t>
        </is>
      </c>
      <c r="E77" s="38" t="inlineStr">
        <is>
          <t>RTR - EFORM SEPARATIONS TRAINING</t>
        </is>
      </c>
      <c r="F77" s="44" t="n">
        <v>45779</v>
      </c>
      <c r="G77" s="40" t="n">
        <v>45780</v>
      </c>
      <c r="H77" s="44" t="n">
        <v>45780</v>
      </c>
      <c r="I77" s="41" t="n">
        <v>2</v>
      </c>
      <c r="J77" s="42" t="n">
        <v>2</v>
      </c>
      <c r="K77" s="38" t="inlineStr">
        <is>
          <t>TR 1</t>
        </is>
      </c>
      <c r="L77" s="38" t="inlineStr">
        <is>
          <t>TR 5</t>
        </is>
      </c>
      <c r="M77" s="38" t="inlineStr">
        <is>
          <t>--</t>
        </is>
      </c>
      <c r="N77" s="38" t="inlineStr">
        <is>
          <t>--</t>
        </is>
      </c>
      <c r="O77" s="38" t="inlineStr">
        <is>
          <t>JJH</t>
        </is>
      </c>
      <c r="Q77" s="62">
        <f>IF(C77="Yes", 1, IF(C77="no", 0, IF(C77= "tardy", SUM(J77/I77),"")))</f>
        <v/>
      </c>
      <c r="R77" s="62">
        <f>LEFT(Train_Log[[#This Row],[COURSE NAME:]],FIND(" - ", Train_Log[[#This Row],[COURSE NAME:]]) -1)</f>
        <v/>
      </c>
      <c r="S77" s="62">
        <f>MID(Train_Log[[#This Row],[COURSE NAME:]],FIND(" - ", Train_Log[[#This Row],[COURSE NAME:]]), 13)</f>
        <v/>
      </c>
      <c r="T77" s="62">
        <f>MID(E77, FIND(" - ", E77) + 3, LEN(E77)) &amp; "_" &amp; TEXT(F77, "yyyymmdd") &amp; "_" &amp; TEXT(H77, "yyyymmdd")</f>
        <v/>
      </c>
    </row>
    <row r="78">
      <c r="B78" s="38" t="inlineStr">
        <is>
          <t>EE123</t>
        </is>
      </c>
      <c r="C78" s="38" t="inlineStr">
        <is>
          <t>No</t>
        </is>
      </c>
      <c r="D78" t="inlineStr">
        <is>
          <t>5102018</t>
        </is>
      </c>
      <c r="E78" s="38" t="inlineStr">
        <is>
          <t>PHONES - EMPLOYMENT VERIFICATION</t>
        </is>
      </c>
      <c r="F78" s="40" t="n">
        <v>45365</v>
      </c>
      <c r="G78" s="40" t="n">
        <v>45366</v>
      </c>
      <c r="H78" s="40" t="n">
        <v>45366</v>
      </c>
      <c r="I78" s="41" t="n">
        <v>8</v>
      </c>
      <c r="J78" s="41" t="n">
        <v>8</v>
      </c>
      <c r="K78" s="38" t="inlineStr">
        <is>
          <t>TR 1</t>
        </is>
      </c>
      <c r="L78" s="38" t="inlineStr">
        <is>
          <t>TR 3</t>
        </is>
      </c>
      <c r="M78" s="38" t="inlineStr">
        <is>
          <t>--</t>
        </is>
      </c>
      <c r="N78" s="38" t="inlineStr">
        <is>
          <t>--</t>
        </is>
      </c>
      <c r="O78" s="38" t="inlineStr">
        <is>
          <t>JJH</t>
        </is>
      </c>
      <c r="Q78" s="62">
        <f>IF(C78="Yes", 1, IF(C78="no", 0, IF(C78= "tardy", SUM(J78/I78),"")))</f>
        <v/>
      </c>
      <c r="R78" s="62">
        <f>LEFT(Train_Log[[#This Row],[COURSE NAME:]],FIND(" - ", Train_Log[[#This Row],[COURSE NAME:]]) -1)</f>
        <v/>
      </c>
      <c r="S78" s="62">
        <f>MID(Train_Log[[#This Row],[COURSE NAME:]],FIND(" - ", Train_Log[[#This Row],[COURSE NAME:]]), 13)</f>
        <v/>
      </c>
      <c r="T78" s="62">
        <f>MID(E78, FIND(" - ", E78) + 3, LEN(E78)) &amp; "_" &amp; TEXT(F78, "yyyymmdd") &amp; "_" &amp; TEXT(H78, "yyyymmdd")</f>
        <v/>
      </c>
    </row>
    <row r="79">
      <c r="B79" s="38" t="inlineStr">
        <is>
          <t>EE39</t>
        </is>
      </c>
      <c r="C79" s="38" t="inlineStr">
        <is>
          <t>No</t>
        </is>
      </c>
      <c r="D79" t="inlineStr">
        <is>
          <t>4903091</t>
        </is>
      </c>
      <c r="E79" s="38" t="inlineStr">
        <is>
          <t>RTR - EFORM SEPARATIONS TRAINING</t>
        </is>
      </c>
      <c r="F79" s="40" t="n">
        <v>45386</v>
      </c>
      <c r="G79" s="40" t="n">
        <v>45386</v>
      </c>
      <c r="H79" s="40" t="n">
        <v>45386</v>
      </c>
      <c r="I79" s="41" t="n">
        <v>4</v>
      </c>
      <c r="J79" s="41" t="n">
        <v>4</v>
      </c>
      <c r="K79" s="38" t="inlineStr">
        <is>
          <t>TR 10</t>
        </is>
      </c>
      <c r="L79" s="38" t="inlineStr">
        <is>
          <t>TR 10</t>
        </is>
      </c>
      <c r="M79" s="38" t="inlineStr">
        <is>
          <t>--</t>
        </is>
      </c>
      <c r="N79" s="38" t="inlineStr">
        <is>
          <t>--</t>
        </is>
      </c>
      <c r="O79" s="38" t="inlineStr">
        <is>
          <t>JJH</t>
        </is>
      </c>
      <c r="P79" s="50" t="n"/>
      <c r="Q79" s="62">
        <f>IF(C79="Yes", 1, IF(C79="no", 0, IF(C79= "tardy", SUM(J79/I79),"")))</f>
        <v/>
      </c>
      <c r="R79" s="62">
        <f>LEFT(Train_Log[[#This Row],[COURSE NAME:]],FIND(" - ", Train_Log[[#This Row],[COURSE NAME:]]) -1)</f>
        <v/>
      </c>
      <c r="S79" s="62">
        <f>MID(Train_Log[[#This Row],[COURSE NAME:]],FIND(" - ", Train_Log[[#This Row],[COURSE NAME:]]), 13)</f>
        <v/>
      </c>
      <c r="T79" s="62">
        <f>MID(E79, FIND(" - ", E79) + 3, LEN(E79)) &amp; "_" &amp; TEXT(F79, "yyyymmdd") &amp; "_" &amp; TEXT(H79, "yyyymmdd")</f>
        <v/>
      </c>
    </row>
    <row r="80">
      <c r="B80" s="38" t="inlineStr">
        <is>
          <t>EE159</t>
        </is>
      </c>
      <c r="C80" s="38" t="inlineStr">
        <is>
          <t>No</t>
        </is>
      </c>
      <c r="D80" s="39" t="inlineStr">
        <is>
          <t>5231028</t>
        </is>
      </c>
      <c r="E80" s="38" t="inlineStr">
        <is>
          <t>SUPPORT - TRAINING - PTSP TRAINING</t>
        </is>
      </c>
      <c r="F80" s="40" t="n">
        <v>45688</v>
      </c>
      <c r="G80" s="40" t="n">
        <v>45689</v>
      </c>
      <c r="H80" s="40" t="n">
        <v>45689</v>
      </c>
      <c r="I80" s="41" t="n">
        <v>3</v>
      </c>
      <c r="J80" s="41" t="n">
        <v>3</v>
      </c>
      <c r="K80" s="38" t="inlineStr">
        <is>
          <t>TR 10</t>
        </is>
      </c>
      <c r="L80" s="38" t="inlineStr">
        <is>
          <t>TR 7</t>
        </is>
      </c>
      <c r="M80" s="38" t="inlineStr">
        <is>
          <t>--</t>
        </is>
      </c>
      <c r="N80" s="38" t="inlineStr">
        <is>
          <t>--</t>
        </is>
      </c>
      <c r="O80" s="38" t="inlineStr">
        <is>
          <t>JJH</t>
        </is>
      </c>
      <c r="P80" s="44" t="n"/>
      <c r="Q80" s="62">
        <f>IF(C80="Yes", 1, IF(C80="no", 0, IF(C80= "tardy", SUM(J80/I80),"")))</f>
        <v/>
      </c>
      <c r="R80" s="62">
        <f>LEFT(Train_Log[[#This Row],[COURSE NAME:]],FIND(" - ", Train_Log[[#This Row],[COURSE NAME:]]) -1)</f>
        <v/>
      </c>
      <c r="S80" s="62">
        <f>MID(Train_Log[[#This Row],[COURSE NAME:]],FIND(" - ", Train_Log[[#This Row],[COURSE NAME:]]), 13)</f>
        <v/>
      </c>
      <c r="T80" s="62">
        <f>MID(E80, FIND(" - ", E80) + 3, LEN(E80)) &amp; "_" &amp; TEXT(F80, "yyyymmdd") &amp; "_" &amp; TEXT(H80, "yyyymmdd")</f>
        <v/>
      </c>
    </row>
    <row r="81">
      <c r="B81" s="38" t="inlineStr">
        <is>
          <t>EE79</t>
        </is>
      </c>
      <c r="C81" s="38" t="inlineStr">
        <is>
          <t>No</t>
        </is>
      </c>
      <c r="D81" s="39" t="inlineStr">
        <is>
          <t>4878736</t>
        </is>
      </c>
      <c r="E81" s="38" t="inlineStr">
        <is>
          <t>PHONES - BENEFITS</t>
        </is>
      </c>
      <c r="F81" s="40" t="n">
        <v>45400</v>
      </c>
      <c r="G81" s="40" t="n">
        <v>45400</v>
      </c>
      <c r="H81" s="40" t="n">
        <v>45400</v>
      </c>
      <c r="I81" s="41" t="n">
        <v>3</v>
      </c>
      <c r="J81" s="41" t="n">
        <v>3</v>
      </c>
      <c r="K81" s="38" t="inlineStr">
        <is>
          <t>TR 2</t>
        </is>
      </c>
      <c r="L81" s="38" t="inlineStr">
        <is>
          <t>TR 3</t>
        </is>
      </c>
      <c r="M81" s="38" t="inlineStr">
        <is>
          <t>--</t>
        </is>
      </c>
      <c r="N81" s="38" t="inlineStr">
        <is>
          <t>--</t>
        </is>
      </c>
      <c r="O81" s="38" t="inlineStr">
        <is>
          <t>JJH</t>
        </is>
      </c>
      <c r="P81" s="44" t="n"/>
      <c r="Q81" s="62">
        <f>IF(C81="Yes", 1, IF(C81="no", 0, IF(C81= "tardy", SUM(J81/I81),"")))</f>
        <v/>
      </c>
      <c r="R81" s="62">
        <f>LEFT(Train_Log[[#This Row],[COURSE NAME:]],FIND(" - ", Train_Log[[#This Row],[COURSE NAME:]]) -1)</f>
        <v/>
      </c>
      <c r="S81" s="62">
        <f>MID(Train_Log[[#This Row],[COURSE NAME:]],FIND(" - ", Train_Log[[#This Row],[COURSE NAME:]]), 13)</f>
        <v/>
      </c>
      <c r="T81" s="62">
        <f>MID(E81, FIND(" - ", E81) + 3, LEN(E81)) &amp; "_" &amp; TEXT(F81, "yyyymmdd") &amp; "_" &amp; TEXT(H81, "yyyymmdd")</f>
        <v/>
      </c>
    </row>
    <row r="82">
      <c r="B82" s="38" t="inlineStr">
        <is>
          <t>EE62</t>
        </is>
      </c>
      <c r="C82" s="38" t="inlineStr">
        <is>
          <t>Yes</t>
        </is>
      </c>
      <c r="D82" s="39" t="inlineStr">
        <is>
          <t>6955188</t>
        </is>
      </c>
      <c r="E82" s="38" t="inlineStr">
        <is>
          <t>PHONES - LWOP</t>
        </is>
      </c>
      <c r="F82" s="40" t="n">
        <v>45375</v>
      </c>
      <c r="G82" s="40" t="n">
        <v>45375</v>
      </c>
      <c r="H82" s="40" t="n">
        <v>45375</v>
      </c>
      <c r="I82" s="41" t="n">
        <v>4</v>
      </c>
      <c r="J82" s="41" t="n">
        <v>0</v>
      </c>
      <c r="K82" s="38" t="inlineStr">
        <is>
          <t>TR 10</t>
        </is>
      </c>
      <c r="L82" s="38" t="inlineStr">
        <is>
          <t>TR 8</t>
        </is>
      </c>
      <c r="M82" s="38" t="inlineStr">
        <is>
          <t>--</t>
        </is>
      </c>
      <c r="N82" s="38" t="inlineStr">
        <is>
          <t>--</t>
        </is>
      </c>
      <c r="O82" s="38" t="inlineStr">
        <is>
          <t>JJH</t>
        </is>
      </c>
      <c r="P82" s="44" t="n"/>
      <c r="Q82" s="62">
        <f>IF(C82="Yes", 1, IF(C82="no", 0, IF(C82= "tardy", SUM(J82/I82),"")))</f>
        <v/>
      </c>
      <c r="R82" s="62">
        <f>LEFT(Train_Log[[#This Row],[COURSE NAME:]],FIND(" - ", Train_Log[[#This Row],[COURSE NAME:]]) -1)</f>
        <v/>
      </c>
      <c r="S82" s="62">
        <f>MID(Train_Log[[#This Row],[COURSE NAME:]],FIND(" - ", Train_Log[[#This Row],[COURSE NAME:]]), 13)</f>
        <v/>
      </c>
      <c r="T82" s="62">
        <f>MID(E82, FIND(" - ", E82) + 3, LEN(E82)) &amp; "_" &amp; TEXT(F82, "yyyymmdd") &amp; "_" &amp; TEXT(H82, "yyyymmdd")</f>
        <v/>
      </c>
    </row>
    <row r="83">
      <c r="B83" s="38" t="inlineStr">
        <is>
          <t>EE75</t>
        </is>
      </c>
      <c r="C83" s="38" t="inlineStr">
        <is>
          <t>No</t>
        </is>
      </c>
      <c r="D83" s="39" t="inlineStr">
        <is>
          <t>5530217</t>
        </is>
      </c>
      <c r="E83" s="38" t="inlineStr">
        <is>
          <t>PHONES - BENEFITS</t>
        </is>
      </c>
      <c r="F83" s="40" t="n">
        <v>45536</v>
      </c>
      <c r="G83" s="40" t="n">
        <v>45536</v>
      </c>
      <c r="H83" s="40" t="n">
        <v>45536</v>
      </c>
      <c r="I83" s="41" t="n">
        <v>4</v>
      </c>
      <c r="J83" s="41" t="n">
        <v>4</v>
      </c>
      <c r="K83" s="38" t="inlineStr">
        <is>
          <t>TR 2</t>
        </is>
      </c>
      <c r="L83" s="38" t="inlineStr">
        <is>
          <t>--</t>
        </is>
      </c>
      <c r="M83" s="38" t="inlineStr">
        <is>
          <t>--</t>
        </is>
      </c>
      <c r="N83" s="38" t="inlineStr">
        <is>
          <t>--</t>
        </is>
      </c>
      <c r="O83" s="38" t="inlineStr">
        <is>
          <t>JJH</t>
        </is>
      </c>
      <c r="P83" s="59" t="n"/>
      <c r="Q83" s="62">
        <f>IF(C83="Yes", 1, IF(C83="no", 0, IF(C83= "tardy", SUM(J83/I83),"")))</f>
        <v/>
      </c>
      <c r="R83" s="62">
        <f>LEFT(Train_Log[[#This Row],[COURSE NAME:]],FIND(" - ", Train_Log[[#This Row],[COURSE NAME:]]) -1)</f>
        <v/>
      </c>
      <c r="S83" s="62">
        <f>MID(Train_Log[[#This Row],[COURSE NAME:]],FIND(" - ", Train_Log[[#This Row],[COURSE NAME:]]), 13)</f>
        <v/>
      </c>
      <c r="T83" s="62">
        <f>MID(E83, FIND(" - ", E83) + 3, LEN(E83)) &amp; "_" &amp; TEXT(F83, "yyyymmdd") &amp; "_" &amp; TEXT(H83, "yyyymmdd")</f>
        <v/>
      </c>
    </row>
    <row r="84">
      <c r="B84" s="38" t="inlineStr">
        <is>
          <t>EE60</t>
        </is>
      </c>
      <c r="C84" s="38" t="inlineStr">
        <is>
          <t>No</t>
        </is>
      </c>
      <c r="D84" s="39" t="inlineStr">
        <is>
          <t>6421590</t>
        </is>
      </c>
      <c r="E84" s="38" t="inlineStr">
        <is>
          <t>RTR - EFORM SEPARATIONS TRAINING</t>
        </is>
      </c>
      <c r="F84" s="40" t="n">
        <v>45501</v>
      </c>
      <c r="G84" s="40" t="n">
        <v>45502</v>
      </c>
      <c r="H84" s="40" t="n">
        <v>45502</v>
      </c>
      <c r="I84" s="41" t="n">
        <v>2</v>
      </c>
      <c r="J84" s="41" t="n">
        <v>2</v>
      </c>
      <c r="K84" s="38" t="inlineStr">
        <is>
          <t>TR 3</t>
        </is>
      </c>
      <c r="L84" s="38" t="inlineStr">
        <is>
          <t>TR 5</t>
        </is>
      </c>
      <c r="M84" s="38" t="inlineStr">
        <is>
          <t>--</t>
        </is>
      </c>
      <c r="N84" s="38" t="inlineStr">
        <is>
          <t>--</t>
        </is>
      </c>
      <c r="O84" s="38" t="inlineStr">
        <is>
          <t>JJH</t>
        </is>
      </c>
      <c r="P84" s="59" t="n"/>
      <c r="Q84" s="62">
        <f>IF(C84="Yes", 1, IF(C84="no", 0, IF(C84= "tardy", SUM(J84/I84),"")))</f>
        <v/>
      </c>
      <c r="R84" s="62">
        <f>LEFT(Train_Log[[#This Row],[COURSE NAME:]],FIND(" - ", Train_Log[[#This Row],[COURSE NAME:]]) -1)</f>
        <v/>
      </c>
      <c r="S84" s="62">
        <f>MID(Train_Log[[#This Row],[COURSE NAME:]],FIND(" - ", Train_Log[[#This Row],[COURSE NAME:]]), 13)</f>
        <v/>
      </c>
      <c r="T84" s="62">
        <f>MID(E84, FIND(" - ", E84) + 3, LEN(E84)) &amp; "_" &amp; TEXT(F84, "yyyymmdd") &amp; "_" &amp; TEXT(H84, "yyyymmdd")</f>
        <v/>
      </c>
    </row>
    <row r="85">
      <c r="B85" s="38" t="inlineStr">
        <is>
          <t>EE37</t>
        </is>
      </c>
      <c r="C85" s="38" t="inlineStr">
        <is>
          <t>No</t>
        </is>
      </c>
      <c r="D85" s="39" t="inlineStr">
        <is>
          <t>5165476</t>
        </is>
      </c>
      <c r="E85" s="38" t="inlineStr">
        <is>
          <t>PHONES - EMPLOYMENT VERIFICATION</t>
        </is>
      </c>
      <c r="F85" s="40" t="n">
        <v>45360</v>
      </c>
      <c r="G85" s="40" t="n">
        <v>45360</v>
      </c>
      <c r="H85" s="40" t="n">
        <v>45360</v>
      </c>
      <c r="I85" s="41" t="n">
        <v>8</v>
      </c>
      <c r="J85" s="41" t="n">
        <v>8</v>
      </c>
      <c r="K85" s="38" t="inlineStr">
        <is>
          <t>TR 10</t>
        </is>
      </c>
      <c r="L85" s="38" t="inlineStr">
        <is>
          <t>TR 5</t>
        </is>
      </c>
      <c r="M85" s="38" t="inlineStr">
        <is>
          <t>--</t>
        </is>
      </c>
      <c r="N85" s="38" t="inlineStr">
        <is>
          <t>--</t>
        </is>
      </c>
      <c r="O85" s="38" t="inlineStr">
        <is>
          <t>JJH</t>
        </is>
      </c>
      <c r="P85" s="59" t="n"/>
      <c r="Q85" s="62">
        <f>IF(C85="Yes", 1, IF(C85="no", 0, IF(C85= "tardy", SUM(J85/I85),"")))</f>
        <v/>
      </c>
      <c r="R85" s="62">
        <f>LEFT(Train_Log[[#This Row],[COURSE NAME:]],FIND(" - ", Train_Log[[#This Row],[COURSE NAME:]]) -1)</f>
        <v/>
      </c>
      <c r="S85" s="62">
        <f>MID(Train_Log[[#This Row],[COURSE NAME:]],FIND(" - ", Train_Log[[#This Row],[COURSE NAME:]]), 13)</f>
        <v/>
      </c>
      <c r="T85" s="62">
        <f>MID(E85, FIND(" - ", E85) + 3, LEN(E85)) &amp; "_" &amp; TEXT(F85, "yyyymmdd") &amp; "_" &amp; TEXT(H85, "yyyymmdd")</f>
        <v/>
      </c>
    </row>
    <row r="86">
      <c r="B86" s="38" t="inlineStr">
        <is>
          <t>EE113</t>
        </is>
      </c>
      <c r="C86" s="38" t="inlineStr">
        <is>
          <t>No</t>
        </is>
      </c>
      <c r="D86" s="39" t="inlineStr">
        <is>
          <t>6093927</t>
        </is>
      </c>
      <c r="E86" s="38" t="inlineStr">
        <is>
          <t>PHONES - EMPLOYMENT VERIFICATION</t>
        </is>
      </c>
      <c r="F86" s="40" t="n">
        <v>45778</v>
      </c>
      <c r="G86" s="40" t="n">
        <v>45782</v>
      </c>
      <c r="H86" s="40" t="n">
        <v>45782</v>
      </c>
      <c r="I86" s="41" t="n">
        <v>4</v>
      </c>
      <c r="J86" s="41" t="n">
        <v>4</v>
      </c>
      <c r="K86" s="38" t="inlineStr">
        <is>
          <t>TR 5</t>
        </is>
      </c>
      <c r="L86" s="38" t="inlineStr">
        <is>
          <t>TR 9</t>
        </is>
      </c>
      <c r="M86" s="38" t="inlineStr">
        <is>
          <t>--</t>
        </is>
      </c>
      <c r="N86" s="38" t="inlineStr">
        <is>
          <t>--</t>
        </is>
      </c>
      <c r="O86" s="38" t="inlineStr">
        <is>
          <t>JJH</t>
        </is>
      </c>
      <c r="P86" s="59" t="n"/>
      <c r="Q86" s="62">
        <f>IF(C86="Yes", 1, IF(C86="no", 0, IF(C86= "tardy", SUM(J86/I86),"")))</f>
        <v/>
      </c>
      <c r="R86" s="62">
        <f>LEFT(Train_Log[[#This Row],[COURSE NAME:]],FIND(" - ", Train_Log[[#This Row],[COURSE NAME:]]) -1)</f>
        <v/>
      </c>
      <c r="S86" s="62">
        <f>MID(Train_Log[[#This Row],[COURSE NAME:]],FIND(" - ", Train_Log[[#This Row],[COURSE NAME:]]), 13)</f>
        <v/>
      </c>
      <c r="T86" s="62">
        <f>MID(E86, FIND(" - ", E86) + 3, LEN(E86)) &amp; "_" &amp; TEXT(F86, "yyyymmdd") &amp; "_" &amp; TEXT(H86, "yyyymmdd")</f>
        <v/>
      </c>
    </row>
    <row r="87">
      <c r="B87" s="38" t="inlineStr">
        <is>
          <t>EE139</t>
        </is>
      </c>
      <c r="C87" s="38" t="inlineStr">
        <is>
          <t>No</t>
        </is>
      </c>
      <c r="D87" t="inlineStr">
        <is>
          <t>6854145</t>
        </is>
      </c>
      <c r="E87" s="38" t="inlineStr">
        <is>
          <t>OPTIONAL RETIREMENTS - MAILBUILD</t>
        </is>
      </c>
      <c r="F87" s="40" t="n">
        <v>45747</v>
      </c>
      <c r="G87" s="40" t="n">
        <v>45747</v>
      </c>
      <c r="H87" s="40" t="n">
        <v>45747</v>
      </c>
      <c r="I87" s="41" t="n">
        <v>4</v>
      </c>
      <c r="J87" s="41" t="n">
        <v>4</v>
      </c>
      <c r="K87" s="38" t="inlineStr">
        <is>
          <t>TR 6</t>
        </is>
      </c>
      <c r="L87" s="38" t="inlineStr">
        <is>
          <t>TR 10</t>
        </is>
      </c>
      <c r="M87" s="38" t="inlineStr">
        <is>
          <t>--</t>
        </is>
      </c>
      <c r="N87" s="38" t="inlineStr">
        <is>
          <t>--</t>
        </is>
      </c>
      <c r="O87" s="38" t="inlineStr">
        <is>
          <t>JJH</t>
        </is>
      </c>
      <c r="Q87" s="62">
        <f>IF(C87="Yes", 1, IF(C87="no", 0, IF(C87= "tardy", SUM(J87/I87),"")))</f>
        <v/>
      </c>
      <c r="R87" s="62">
        <f>LEFT(Train_Log[[#This Row],[COURSE NAME:]],FIND(" - ", Train_Log[[#This Row],[COURSE NAME:]]) -1)</f>
        <v/>
      </c>
      <c r="S87" s="62">
        <f>MID(Train_Log[[#This Row],[COURSE NAME:]],FIND(" - ", Train_Log[[#This Row],[COURSE NAME:]]), 13)</f>
        <v/>
      </c>
      <c r="T87" s="62">
        <f>MID(E87, FIND(" - ", E87) + 3, LEN(E87)) &amp; "_" &amp; TEXT(F87, "yyyymmdd") &amp; "_" &amp; TEXT(H87, "yyyymmdd")</f>
        <v/>
      </c>
    </row>
    <row r="88">
      <c r="B88" s="38" t="inlineStr">
        <is>
          <t>EE65</t>
        </is>
      </c>
      <c r="C88" s="38" t="inlineStr">
        <is>
          <t>No</t>
        </is>
      </c>
      <c r="D88" t="inlineStr">
        <is>
          <t>6773539</t>
        </is>
      </c>
      <c r="E88" s="38" t="inlineStr">
        <is>
          <t>PHONES - BENEFITS</t>
        </is>
      </c>
      <c r="F88" s="40" t="n">
        <v>45392</v>
      </c>
      <c r="G88" s="40" t="n">
        <v>45392</v>
      </c>
      <c r="H88" s="40" t="n">
        <v>45392</v>
      </c>
      <c r="I88" s="41" t="n">
        <v>8</v>
      </c>
      <c r="J88" s="41" t="n">
        <v>8</v>
      </c>
      <c r="K88" s="38" t="inlineStr">
        <is>
          <t>TR 10</t>
        </is>
      </c>
      <c r="L88" s="38" t="inlineStr">
        <is>
          <t>TR 1</t>
        </is>
      </c>
      <c r="M88" s="38" t="inlineStr">
        <is>
          <t>--</t>
        </is>
      </c>
      <c r="N88" s="38" t="inlineStr">
        <is>
          <t>--</t>
        </is>
      </c>
      <c r="O88" s="38" t="inlineStr">
        <is>
          <t>JJH</t>
        </is>
      </c>
      <c r="Q88" s="62">
        <f>IF(C88="Yes", 1, IF(C88="no", 0, IF(C88= "tardy", SUM(J88/I88),"")))</f>
        <v/>
      </c>
      <c r="R88" s="62">
        <f>LEFT(Train_Log[[#This Row],[COURSE NAME:]],FIND(" - ", Train_Log[[#This Row],[COURSE NAME:]]) -1)</f>
        <v/>
      </c>
      <c r="S88" s="62">
        <f>MID(Train_Log[[#This Row],[COURSE NAME:]],FIND(" - ", Train_Log[[#This Row],[COURSE NAME:]]), 13)</f>
        <v/>
      </c>
      <c r="T88" s="62">
        <f>MID(E88, FIND(" - ", E88) + 3, LEN(E88)) &amp; "_" &amp; TEXT(F88, "yyyymmdd") &amp; "_" &amp; TEXT(H88, "yyyymmdd")</f>
        <v/>
      </c>
    </row>
    <row r="89">
      <c r="B89" s="38" t="inlineStr">
        <is>
          <t>EE173</t>
        </is>
      </c>
      <c r="C89" s="38" t="inlineStr">
        <is>
          <t>No</t>
        </is>
      </c>
      <c r="D89" s="39" t="inlineStr">
        <is>
          <t>6554206</t>
        </is>
      </c>
      <c r="E89" s="38" t="inlineStr">
        <is>
          <t>RTR - EFORM SEPARATIONS TRAINING</t>
        </is>
      </c>
      <c r="F89" s="44" t="n">
        <v>45340</v>
      </c>
      <c r="G89" s="40" t="n">
        <v>45340</v>
      </c>
      <c r="H89" s="44" t="n">
        <v>45340</v>
      </c>
      <c r="I89" s="41" t="n">
        <v>4</v>
      </c>
      <c r="J89" s="42" t="n">
        <v>4</v>
      </c>
      <c r="K89" s="38" t="inlineStr">
        <is>
          <t>TR 5</t>
        </is>
      </c>
      <c r="L89" s="38" t="inlineStr">
        <is>
          <t>TR 3</t>
        </is>
      </c>
      <c r="M89" s="38" t="inlineStr">
        <is>
          <t>--</t>
        </is>
      </c>
      <c r="N89" s="38" t="inlineStr">
        <is>
          <t>--</t>
        </is>
      </c>
      <c r="O89" s="38" t="inlineStr">
        <is>
          <t>JJH</t>
        </is>
      </c>
      <c r="Q89" s="62">
        <f>IF(C89="Yes", 1, IF(C89="no", 0, IF(C89= "tardy", SUM(J89/I89),"")))</f>
        <v/>
      </c>
      <c r="R89" s="62">
        <f>LEFT(Train_Log[[#This Row],[COURSE NAME:]],FIND(" - ", Train_Log[[#This Row],[COURSE NAME:]]) -1)</f>
        <v/>
      </c>
      <c r="S89" s="62">
        <f>MID(Train_Log[[#This Row],[COURSE NAME:]],FIND(" - ", Train_Log[[#This Row],[COURSE NAME:]]), 13)</f>
        <v/>
      </c>
      <c r="T89" s="62">
        <f>MID(E89, FIND(" - ", E89) + 3, LEN(E89)) &amp; "_" &amp; TEXT(F89, "yyyymmdd") &amp; "_" &amp; TEXT(H89, "yyyymmdd")</f>
        <v/>
      </c>
    </row>
    <row r="90">
      <c r="B90" s="38" t="inlineStr">
        <is>
          <t>EE150</t>
        </is>
      </c>
      <c r="C90" s="38" t="inlineStr">
        <is>
          <t>No</t>
        </is>
      </c>
      <c r="D90" s="39" t="inlineStr">
        <is>
          <t>4048154</t>
        </is>
      </c>
      <c r="E90" s="38" t="inlineStr">
        <is>
          <t>LWOP - HCES SU FACILITATION TRAINING</t>
        </is>
      </c>
      <c r="F90" s="44" t="n">
        <v>45802</v>
      </c>
      <c r="G90" s="40" t="n">
        <v>45802</v>
      </c>
      <c r="H90" s="44" t="n">
        <v>45802</v>
      </c>
      <c r="I90" s="41" t="n">
        <v>4</v>
      </c>
      <c r="J90" s="42" t="n">
        <v>4</v>
      </c>
      <c r="K90" s="38" t="inlineStr">
        <is>
          <t>TR 6</t>
        </is>
      </c>
      <c r="L90" s="38" t="inlineStr">
        <is>
          <t>TR 6</t>
        </is>
      </c>
      <c r="M90" s="38" t="inlineStr">
        <is>
          <t>--</t>
        </is>
      </c>
      <c r="N90" s="38" t="inlineStr">
        <is>
          <t>--</t>
        </is>
      </c>
      <c r="O90" s="38" t="inlineStr">
        <is>
          <t>JJH</t>
        </is>
      </c>
      <c r="Q90" s="62">
        <f>IF(C90="Yes", 1, IF(C90="no", 0, IF(C90= "tardy", SUM(J90/I90),"")))</f>
        <v/>
      </c>
      <c r="R90" s="62">
        <f>LEFT(Train_Log[[#This Row],[COURSE NAME:]],FIND(" - ", Train_Log[[#This Row],[COURSE NAME:]]) -1)</f>
        <v/>
      </c>
      <c r="S90" s="62">
        <f>MID(Train_Log[[#This Row],[COURSE NAME:]],FIND(" - ", Train_Log[[#This Row],[COURSE NAME:]]), 13)</f>
        <v/>
      </c>
      <c r="T90" s="62">
        <f>MID(E90, FIND(" - ", E90) + 3, LEN(E90)) &amp; "_" &amp; TEXT(F90, "yyyymmdd") &amp; "_" &amp; TEXT(H90, "yyyymmdd")</f>
        <v/>
      </c>
    </row>
    <row r="91">
      <c r="B91" s="38" t="inlineStr">
        <is>
          <t>EE172</t>
        </is>
      </c>
      <c r="C91" s="38" t="inlineStr">
        <is>
          <t>No</t>
        </is>
      </c>
      <c r="D91" s="39" t="inlineStr">
        <is>
          <t>6129292</t>
        </is>
      </c>
      <c r="E91" s="38" t="inlineStr">
        <is>
          <t>PHONES - EMPLOYMENT VERIFICATION</t>
        </is>
      </c>
      <c r="F91" s="44" t="n">
        <v>45463</v>
      </c>
      <c r="G91" s="40" t="n">
        <v>45463</v>
      </c>
      <c r="H91" s="44" t="n">
        <v>45463</v>
      </c>
      <c r="I91" s="41" t="n">
        <v>4</v>
      </c>
      <c r="J91" s="42" t="n">
        <v>4</v>
      </c>
      <c r="K91" s="38" t="inlineStr">
        <is>
          <t>TR 5</t>
        </is>
      </c>
      <c r="L91" s="38" t="inlineStr">
        <is>
          <t>--</t>
        </is>
      </c>
      <c r="M91" s="38" t="inlineStr">
        <is>
          <t>--</t>
        </is>
      </c>
      <c r="N91" s="38" t="inlineStr">
        <is>
          <t>--</t>
        </is>
      </c>
      <c r="O91" s="38" t="inlineStr">
        <is>
          <t>JJH</t>
        </is>
      </c>
      <c r="Q91" s="62">
        <f>IF(C91="Yes", 1, IF(C91="no", 0, IF(C91= "tardy", SUM(J91/I91),"")))</f>
        <v/>
      </c>
      <c r="R91" s="62">
        <f>LEFT(Train_Log[[#This Row],[COURSE NAME:]],FIND(" - ", Train_Log[[#This Row],[COURSE NAME:]]) -1)</f>
        <v/>
      </c>
      <c r="S91" s="62">
        <f>MID(Train_Log[[#This Row],[COURSE NAME:]],FIND(" - ", Train_Log[[#This Row],[COURSE NAME:]]), 13)</f>
        <v/>
      </c>
      <c r="T91" s="62">
        <f>MID(E91, FIND(" - ", E91) + 3, LEN(E91)) &amp; "_" &amp; TEXT(F91, "yyyymmdd") &amp; "_" &amp; TEXT(H91, "yyyymmdd")</f>
        <v/>
      </c>
    </row>
    <row r="92">
      <c r="B92" s="38" t="inlineStr">
        <is>
          <t>EE103</t>
        </is>
      </c>
      <c r="C92" s="38" t="inlineStr">
        <is>
          <t>No</t>
        </is>
      </c>
      <c r="D92" s="39" t="inlineStr">
        <is>
          <t>4134638</t>
        </is>
      </c>
      <c r="E92" s="38" t="inlineStr">
        <is>
          <t>PHONES - BENEFITS</t>
        </is>
      </c>
      <c r="F92" s="44" t="n">
        <v>45764</v>
      </c>
      <c r="G92" s="40" t="n">
        <v>45764</v>
      </c>
      <c r="H92" s="44" t="n">
        <v>45764</v>
      </c>
      <c r="I92" s="41" t="n">
        <v>3</v>
      </c>
      <c r="J92" s="42" t="n">
        <v>3</v>
      </c>
      <c r="K92" s="38" t="inlineStr">
        <is>
          <t>TR 2</t>
        </is>
      </c>
      <c r="L92" s="38" t="inlineStr">
        <is>
          <t>TR 7</t>
        </is>
      </c>
      <c r="M92" s="38" t="inlineStr">
        <is>
          <t>--</t>
        </is>
      </c>
      <c r="N92" s="38" t="inlineStr">
        <is>
          <t>--</t>
        </is>
      </c>
      <c r="O92" s="38" t="inlineStr">
        <is>
          <t>JJH</t>
        </is>
      </c>
      <c r="Q92" s="62">
        <f>IF(C92="Yes", 1, IF(C92="no", 0, IF(C92= "tardy", SUM(J92/I92),"")))</f>
        <v/>
      </c>
      <c r="R92" s="62">
        <f>LEFT(Train_Log[[#This Row],[COURSE NAME:]],FIND(" - ", Train_Log[[#This Row],[COURSE NAME:]]) -1)</f>
        <v/>
      </c>
      <c r="S92" s="62">
        <f>MID(Train_Log[[#This Row],[COURSE NAME:]],FIND(" - ", Train_Log[[#This Row],[COURSE NAME:]]), 13)</f>
        <v/>
      </c>
      <c r="T92" s="62">
        <f>MID(E92, FIND(" - ", E92) + 3, LEN(E92)) &amp; "_" &amp; TEXT(F92, "yyyymmdd") &amp; "_" &amp; TEXT(H92, "yyyymmdd")</f>
        <v/>
      </c>
    </row>
    <row r="93">
      <c r="B93" s="38" t="inlineStr">
        <is>
          <t>EE132</t>
        </is>
      </c>
      <c r="C93" s="38" t="inlineStr">
        <is>
          <t>tardy</t>
        </is>
      </c>
      <c r="D93" s="39" t="inlineStr">
        <is>
          <t>6069955</t>
        </is>
      </c>
      <c r="E93" s="38" t="inlineStr">
        <is>
          <t>PHONES - BENEFITS</t>
        </is>
      </c>
      <c r="F93" s="44" t="n">
        <v>45772</v>
      </c>
      <c r="G93" s="40" t="n">
        <v>45773</v>
      </c>
      <c r="H93" s="44" t="n">
        <v>45773</v>
      </c>
      <c r="I93" s="41" t="n">
        <v>8</v>
      </c>
      <c r="J93" s="42" t="n">
        <v>5.16</v>
      </c>
      <c r="K93" s="38" t="inlineStr">
        <is>
          <t>TR 8</t>
        </is>
      </c>
      <c r="L93" s="38" t="inlineStr">
        <is>
          <t>--</t>
        </is>
      </c>
      <c r="M93" s="38" t="inlineStr">
        <is>
          <t>--</t>
        </is>
      </c>
      <c r="N93" s="38" t="inlineStr">
        <is>
          <t>--</t>
        </is>
      </c>
      <c r="O93" s="38" t="inlineStr">
        <is>
          <t>JJH</t>
        </is>
      </c>
      <c r="Q93" s="62">
        <f>IF(C93="Yes", 1, IF(C93="no", 0, IF(C93= "tardy", SUM(J93/I93),"")))</f>
        <v/>
      </c>
      <c r="R93" s="62">
        <f>LEFT(Train_Log[[#This Row],[COURSE NAME:]],FIND(" - ", Train_Log[[#This Row],[COURSE NAME:]]) -1)</f>
        <v/>
      </c>
      <c r="S93" s="62">
        <f>MID(Train_Log[[#This Row],[COURSE NAME:]],FIND(" - ", Train_Log[[#This Row],[COURSE NAME:]]), 13)</f>
        <v/>
      </c>
      <c r="T93" s="62">
        <f>MID(E93, FIND(" - ", E93) + 3, LEN(E93)) &amp; "_" &amp; TEXT(F93, "yyyymmdd") &amp; "_" &amp; TEXT(H93, "yyyymmdd")</f>
        <v/>
      </c>
    </row>
    <row r="94">
      <c r="B94" s="38" t="inlineStr">
        <is>
          <t>EE114</t>
        </is>
      </c>
      <c r="C94" s="38" t="inlineStr">
        <is>
          <t>No</t>
        </is>
      </c>
      <c r="D94" s="39" t="inlineStr">
        <is>
          <t>5659400</t>
        </is>
      </c>
      <c r="E94" s="38" t="inlineStr">
        <is>
          <t>PHONES - BENEFITS</t>
        </is>
      </c>
      <c r="F94" s="44" t="n">
        <v>45507</v>
      </c>
      <c r="G94" s="40" t="n">
        <v>45507</v>
      </c>
      <c r="H94" s="44" t="n">
        <v>45507</v>
      </c>
      <c r="I94" s="41" t="n">
        <v>3</v>
      </c>
      <c r="J94" s="42" t="n">
        <v>3</v>
      </c>
      <c r="K94" s="38" t="inlineStr">
        <is>
          <t>TR 8</t>
        </is>
      </c>
      <c r="L94" s="38" t="inlineStr">
        <is>
          <t>TR 8</t>
        </is>
      </c>
      <c r="M94" s="38" t="inlineStr">
        <is>
          <t>--</t>
        </is>
      </c>
      <c r="N94" s="38" t="inlineStr">
        <is>
          <t>--</t>
        </is>
      </c>
      <c r="O94" s="38" t="inlineStr">
        <is>
          <t>JJH</t>
        </is>
      </c>
      <c r="Q94" s="62">
        <f>IF(C94="Yes", 1, IF(C94="no", 0, IF(C94= "tardy", SUM(J94/I94),"")))</f>
        <v/>
      </c>
      <c r="R94" s="62">
        <f>LEFT(Train_Log[[#This Row],[COURSE NAME:]],FIND(" - ", Train_Log[[#This Row],[COURSE NAME:]]) -1)</f>
        <v/>
      </c>
      <c r="S94" s="62">
        <f>MID(Train_Log[[#This Row],[COURSE NAME:]],FIND(" - ", Train_Log[[#This Row],[COURSE NAME:]]), 13)</f>
        <v/>
      </c>
      <c r="T94" s="62">
        <f>MID(E94, FIND(" - ", E94) + 3, LEN(E94)) &amp; "_" &amp; TEXT(F94, "yyyymmdd") &amp; "_" &amp; TEXT(H94, "yyyymmdd")</f>
        <v/>
      </c>
    </row>
    <row r="95">
      <c r="B95" s="38" t="inlineStr">
        <is>
          <t>EE32</t>
        </is>
      </c>
      <c r="C95" s="38" t="inlineStr">
        <is>
          <t>No</t>
        </is>
      </c>
      <c r="D95" s="39" t="inlineStr">
        <is>
          <t>4027257</t>
        </is>
      </c>
      <c r="E95" s="38" t="inlineStr">
        <is>
          <t>PHONES - BENEFITS</t>
        </is>
      </c>
      <c r="F95" s="44" t="n">
        <v>45544</v>
      </c>
      <c r="G95" s="40" t="n">
        <v>45548</v>
      </c>
      <c r="H95" s="44" t="n">
        <v>45548</v>
      </c>
      <c r="I95" s="41" t="n">
        <v>8</v>
      </c>
      <c r="J95" s="42" t="n">
        <v>8</v>
      </c>
      <c r="K95" s="38" t="inlineStr">
        <is>
          <t>TR 1</t>
        </is>
      </c>
      <c r="L95" s="38" t="inlineStr">
        <is>
          <t>TR 9</t>
        </is>
      </c>
      <c r="M95" s="38" t="inlineStr">
        <is>
          <t>--</t>
        </is>
      </c>
      <c r="N95" s="38" t="inlineStr">
        <is>
          <t>--</t>
        </is>
      </c>
      <c r="O95" s="38" t="inlineStr">
        <is>
          <t>JJH</t>
        </is>
      </c>
      <c r="Q95" s="62">
        <f>IF(C95="Yes", 1, IF(C95="no", 0, IF(C95= "tardy", SUM(J95/I95),"")))</f>
        <v/>
      </c>
      <c r="R95" s="62">
        <f>LEFT(Train_Log[[#This Row],[COURSE NAME:]],FIND(" - ", Train_Log[[#This Row],[COURSE NAME:]]) -1)</f>
        <v/>
      </c>
      <c r="S95" s="62">
        <f>MID(Train_Log[[#This Row],[COURSE NAME:]],FIND(" - ", Train_Log[[#This Row],[COURSE NAME:]]), 13)</f>
        <v/>
      </c>
      <c r="T95" s="62">
        <f>MID(E95, FIND(" - ", E95) + 3, LEN(E95)) &amp; "_" &amp; TEXT(F95, "yyyymmdd") &amp; "_" &amp; TEXT(H95, "yyyymmdd")</f>
        <v/>
      </c>
    </row>
    <row r="96">
      <c r="B96" s="38" t="inlineStr">
        <is>
          <t>EE105</t>
        </is>
      </c>
      <c r="C96" s="38" t="inlineStr">
        <is>
          <t>No</t>
        </is>
      </c>
      <c r="D96" s="39" t="inlineStr">
        <is>
          <t>5682607</t>
        </is>
      </c>
      <c r="E96" s="38" t="inlineStr">
        <is>
          <t>PHONES - EMPLOYMENT VERIFICATION</t>
        </is>
      </c>
      <c r="F96" s="44" t="n">
        <v>45529</v>
      </c>
      <c r="G96" s="40" t="n">
        <v>45529</v>
      </c>
      <c r="H96" s="44" t="n">
        <v>45529</v>
      </c>
      <c r="I96" s="41" t="n">
        <v>2</v>
      </c>
      <c r="J96" s="42" t="n">
        <v>2</v>
      </c>
      <c r="K96" s="38" t="inlineStr">
        <is>
          <t>TR 3</t>
        </is>
      </c>
      <c r="L96" s="38" t="inlineStr">
        <is>
          <t>TR 8</t>
        </is>
      </c>
      <c r="M96" s="38" t="inlineStr">
        <is>
          <t>--</t>
        </is>
      </c>
      <c r="N96" s="38" t="inlineStr">
        <is>
          <t>--</t>
        </is>
      </c>
      <c r="O96" s="38" t="inlineStr">
        <is>
          <t>JJH</t>
        </is>
      </c>
      <c r="Q96" s="62">
        <f>IF(C96="Yes", 1, IF(C96="no", 0, IF(C96= "tardy", SUM(J96/I96),"")))</f>
        <v/>
      </c>
      <c r="R96" s="62">
        <f>LEFT(Train_Log[[#This Row],[COURSE NAME:]],FIND(" - ", Train_Log[[#This Row],[COURSE NAME:]]) -1)</f>
        <v/>
      </c>
      <c r="S96" s="62">
        <f>MID(Train_Log[[#This Row],[COURSE NAME:]],FIND(" - ", Train_Log[[#This Row],[COURSE NAME:]]), 13)</f>
        <v/>
      </c>
      <c r="T96" s="62">
        <f>MID(E96, FIND(" - ", E96) + 3, LEN(E96)) &amp; "_" &amp; TEXT(F96, "yyyymmdd") &amp; "_" &amp; TEXT(H96, "yyyymmdd")</f>
        <v/>
      </c>
    </row>
    <row r="97">
      <c r="B97" s="38" t="inlineStr">
        <is>
          <t>EE184</t>
        </is>
      </c>
      <c r="C97" s="38" t="inlineStr">
        <is>
          <t>No</t>
        </is>
      </c>
      <c r="D97" s="39" t="inlineStr">
        <is>
          <t>4081691</t>
        </is>
      </c>
      <c r="E97" s="38" t="inlineStr">
        <is>
          <t>RTR - EFORM SEPARATIONS TRAINING</t>
        </is>
      </c>
      <c r="F97" s="44" t="n">
        <v>45820</v>
      </c>
      <c r="G97" s="40" t="n">
        <v>45824</v>
      </c>
      <c r="H97" s="44" t="n">
        <v>45824</v>
      </c>
      <c r="I97" s="41" t="n">
        <v>4</v>
      </c>
      <c r="J97" s="42" t="n">
        <v>4</v>
      </c>
      <c r="K97" s="38" t="inlineStr">
        <is>
          <t>TR 8</t>
        </is>
      </c>
      <c r="L97" s="38" t="inlineStr">
        <is>
          <t>TR 4</t>
        </is>
      </c>
      <c r="M97" s="38" t="inlineStr">
        <is>
          <t>--</t>
        </is>
      </c>
      <c r="N97" s="38" t="inlineStr">
        <is>
          <t>--</t>
        </is>
      </c>
      <c r="O97" s="38" t="inlineStr">
        <is>
          <t>JJH</t>
        </is>
      </c>
      <c r="Q97" s="62">
        <f>IF(C97="Yes", 1, IF(C97="no", 0, IF(C97= "tardy", SUM(J97/I97),"")))</f>
        <v/>
      </c>
      <c r="R97" s="62">
        <f>LEFT(Train_Log[[#This Row],[COURSE NAME:]],FIND(" - ", Train_Log[[#This Row],[COURSE NAME:]]) -1)</f>
        <v/>
      </c>
      <c r="S97" s="62">
        <f>MID(Train_Log[[#This Row],[COURSE NAME:]],FIND(" - ", Train_Log[[#This Row],[COURSE NAME:]]), 13)</f>
        <v/>
      </c>
      <c r="T97" s="62">
        <f>MID(E97, FIND(" - ", E97) + 3, LEN(E97)) &amp; "_" &amp; TEXT(F97, "yyyymmdd") &amp; "_" &amp; TEXT(H97, "yyyymmdd")</f>
        <v/>
      </c>
    </row>
    <row r="98">
      <c r="B98" s="38" t="inlineStr">
        <is>
          <t>EE117</t>
        </is>
      </c>
      <c r="C98" s="38" t="inlineStr">
        <is>
          <t>No</t>
        </is>
      </c>
      <c r="D98" s="39" t="inlineStr">
        <is>
          <t>4599246</t>
        </is>
      </c>
      <c r="E98" s="38" t="inlineStr">
        <is>
          <t>PHONES - LWOP</t>
        </is>
      </c>
      <c r="F98" s="44" t="n">
        <v>45691</v>
      </c>
      <c r="G98" s="40" t="n">
        <v>45691</v>
      </c>
      <c r="H98" s="44" t="n">
        <v>45691</v>
      </c>
      <c r="I98" s="41" t="n">
        <v>8</v>
      </c>
      <c r="J98" s="42" t="n">
        <v>8</v>
      </c>
      <c r="K98" s="38" t="inlineStr">
        <is>
          <t>TR 3</t>
        </is>
      </c>
      <c r="L98" s="38" t="inlineStr">
        <is>
          <t>TR 2</t>
        </is>
      </c>
      <c r="M98" s="38" t="inlineStr">
        <is>
          <t>--</t>
        </is>
      </c>
      <c r="N98" s="38" t="inlineStr">
        <is>
          <t>--</t>
        </is>
      </c>
      <c r="O98" s="38" t="inlineStr">
        <is>
          <t>JJH</t>
        </is>
      </c>
      <c r="Q98" s="62">
        <f>IF(C98="Yes", 1, IF(C98="no", 0, IF(C98= "tardy", SUM(J98/I98),"")))</f>
        <v/>
      </c>
      <c r="R98" s="62">
        <f>LEFT(Train_Log[[#This Row],[COURSE NAME:]],FIND(" - ", Train_Log[[#This Row],[COURSE NAME:]]) -1)</f>
        <v/>
      </c>
      <c r="S98" s="62">
        <f>MID(Train_Log[[#This Row],[COURSE NAME:]],FIND(" - ", Train_Log[[#This Row],[COURSE NAME:]]), 13)</f>
        <v/>
      </c>
      <c r="T98" s="62">
        <f>MID(E98, FIND(" - ", E98) + 3, LEN(E98)) &amp; "_" &amp; TEXT(F98, "yyyymmdd") &amp; "_" &amp; TEXT(H98, "yyyymmdd")</f>
        <v/>
      </c>
    </row>
    <row r="99">
      <c r="B99" s="38" t="inlineStr">
        <is>
          <t>EE71</t>
        </is>
      </c>
      <c r="C99" s="38" t="inlineStr">
        <is>
          <t>No</t>
        </is>
      </c>
      <c r="D99" s="39" t="inlineStr">
        <is>
          <t>5594364</t>
        </is>
      </c>
      <c r="E99" s="38" t="inlineStr">
        <is>
          <t>LWOP - HCES SU FACILITATION TRAINING</t>
        </is>
      </c>
      <c r="F99" s="44" t="n">
        <v>45647</v>
      </c>
      <c r="G99" s="40" t="n">
        <v>45649</v>
      </c>
      <c r="H99" s="44" t="n">
        <v>45649</v>
      </c>
      <c r="I99" s="41" t="n">
        <v>2</v>
      </c>
      <c r="J99" s="42" t="n">
        <v>2</v>
      </c>
      <c r="K99" s="38" t="inlineStr">
        <is>
          <t>TR 5</t>
        </is>
      </c>
      <c r="L99" s="38" t="inlineStr">
        <is>
          <t>TR 5</t>
        </is>
      </c>
      <c r="M99" s="38" t="inlineStr">
        <is>
          <t>--</t>
        </is>
      </c>
      <c r="N99" s="38" t="inlineStr">
        <is>
          <t>--</t>
        </is>
      </c>
      <c r="O99" s="38" t="inlineStr">
        <is>
          <t>JJH</t>
        </is>
      </c>
      <c r="Q99" s="62">
        <f>IF(C99="Yes", 1, IF(C99="no", 0, IF(C99= "tardy", SUM(J99/I99),"")))</f>
        <v/>
      </c>
      <c r="R99" s="62">
        <f>LEFT(Train_Log[[#This Row],[COURSE NAME:]],FIND(" - ", Train_Log[[#This Row],[COURSE NAME:]]) -1)</f>
        <v/>
      </c>
      <c r="S99" s="62">
        <f>MID(Train_Log[[#This Row],[COURSE NAME:]],FIND(" - ", Train_Log[[#This Row],[COURSE NAME:]]), 13)</f>
        <v/>
      </c>
      <c r="T99" s="62">
        <f>MID(E99, FIND(" - ", E99) + 3, LEN(E99)) &amp; "_" &amp; TEXT(F99, "yyyymmdd") &amp; "_" &amp; TEXT(H99, "yyyymmdd")</f>
        <v/>
      </c>
    </row>
    <row r="100">
      <c r="B100" s="38" t="inlineStr">
        <is>
          <t>EE151</t>
        </is>
      </c>
      <c r="C100" s="38" t="inlineStr">
        <is>
          <t>No</t>
        </is>
      </c>
      <c r="D100" s="39" t="inlineStr">
        <is>
          <t>6853315</t>
        </is>
      </c>
      <c r="E100" s="38" t="inlineStr">
        <is>
          <t>OPTIONAL RETIREMENTS - MAILBUILD</t>
        </is>
      </c>
      <c r="F100" s="44" t="n">
        <v>45451</v>
      </c>
      <c r="G100" s="40" t="n">
        <v>45452</v>
      </c>
      <c r="H100" s="44" t="n">
        <v>45452</v>
      </c>
      <c r="I100" s="41" t="n">
        <v>3</v>
      </c>
      <c r="J100" s="42" t="n">
        <v>3</v>
      </c>
      <c r="K100" s="38" t="inlineStr">
        <is>
          <t>TR 6</t>
        </is>
      </c>
      <c r="L100" s="38" t="inlineStr">
        <is>
          <t>TR 9</t>
        </is>
      </c>
      <c r="M100" s="38" t="inlineStr">
        <is>
          <t>--</t>
        </is>
      </c>
      <c r="N100" s="38" t="inlineStr">
        <is>
          <t>--</t>
        </is>
      </c>
      <c r="O100" s="38" t="inlineStr">
        <is>
          <t>JJH</t>
        </is>
      </c>
      <c r="Q100" s="62">
        <f>IF(C100="Yes", 1, IF(C100="no", 0, IF(C100= "tardy", SUM(J100/I100),"")))</f>
        <v/>
      </c>
      <c r="R100" s="62">
        <f>LEFT(Train_Log[[#This Row],[COURSE NAME:]],FIND(" - ", Train_Log[[#This Row],[COURSE NAME:]]) -1)</f>
        <v/>
      </c>
      <c r="S100" s="62">
        <f>MID(Train_Log[[#This Row],[COURSE NAME:]],FIND(" - ", Train_Log[[#This Row],[COURSE NAME:]]), 13)</f>
        <v/>
      </c>
      <c r="T100" s="62">
        <f>MID(E100, FIND(" - ", E100) + 3, LEN(E100)) &amp; "_" &amp; TEXT(F100, "yyyymmdd") &amp; "_" &amp; TEXT(H100, "yyyymmdd")</f>
        <v/>
      </c>
    </row>
    <row r="101">
      <c r="B101" s="38" t="inlineStr">
        <is>
          <t>EE140</t>
        </is>
      </c>
      <c r="C101" s="38" t="inlineStr">
        <is>
          <t>No</t>
        </is>
      </c>
      <c r="D101" t="inlineStr">
        <is>
          <t>5770667</t>
        </is>
      </c>
      <c r="E101" s="38" t="inlineStr">
        <is>
          <t>LWOP - HCES SU FACILITATION TRAINING</t>
        </is>
      </c>
      <c r="F101" s="40" t="n">
        <v>45765</v>
      </c>
      <c r="G101" s="40" t="n">
        <v>45765</v>
      </c>
      <c r="H101" s="40" t="n">
        <v>45765</v>
      </c>
      <c r="I101" s="41" t="n">
        <v>2</v>
      </c>
      <c r="J101" s="41" t="n">
        <v>2</v>
      </c>
      <c r="K101" s="38" t="inlineStr">
        <is>
          <t>TR 10</t>
        </is>
      </c>
      <c r="L101" s="38" t="inlineStr">
        <is>
          <t>TR 7</t>
        </is>
      </c>
      <c r="M101" s="38" t="inlineStr">
        <is>
          <t>--</t>
        </is>
      </c>
      <c r="N101" s="38" t="inlineStr">
        <is>
          <t>--</t>
        </is>
      </c>
      <c r="O101" s="38" t="inlineStr">
        <is>
          <t>JJH</t>
        </is>
      </c>
      <c r="Q101" s="62">
        <f>IF(C101="Yes", 1, IF(C101="no", 0, IF(C101= "tardy", SUM(J101/I101),"")))</f>
        <v/>
      </c>
      <c r="R101" s="62">
        <f>LEFT(Train_Log[[#This Row],[COURSE NAME:]],FIND(" - ", Train_Log[[#This Row],[COURSE NAME:]]) -1)</f>
        <v/>
      </c>
      <c r="S101" s="62">
        <f>MID(Train_Log[[#This Row],[COURSE NAME:]],FIND(" - ", Train_Log[[#This Row],[COURSE NAME:]]), 13)</f>
        <v/>
      </c>
      <c r="T101" s="62">
        <f>MID(E101, FIND(" - ", E101) + 3, LEN(E101)) &amp; "_" &amp; TEXT(F101, "yyyymmdd") &amp; "_" &amp; TEXT(H101, "yyyymmdd")</f>
        <v/>
      </c>
    </row>
    <row r="102">
      <c r="B102" s="38" t="inlineStr">
        <is>
          <t>EE60</t>
        </is>
      </c>
      <c r="C102" s="38" t="inlineStr">
        <is>
          <t>No</t>
        </is>
      </c>
      <c r="D102" t="inlineStr">
        <is>
          <t>6421590</t>
        </is>
      </c>
      <c r="E102" s="38" t="inlineStr">
        <is>
          <t>LWOP - HCES SU FACILITATION TRAINING</t>
        </is>
      </c>
      <c r="F102" s="40" t="n">
        <v>45343</v>
      </c>
      <c r="G102" s="40" t="n">
        <v>45343</v>
      </c>
      <c r="H102" s="40" t="n">
        <v>45343</v>
      </c>
      <c r="I102" s="41" t="n">
        <v>4</v>
      </c>
      <c r="J102" s="41" t="n">
        <v>4</v>
      </c>
      <c r="K102" s="38" t="inlineStr">
        <is>
          <t>TR 7</t>
        </is>
      </c>
      <c r="L102" s="38" t="inlineStr">
        <is>
          <t>--</t>
        </is>
      </c>
      <c r="M102" s="38" t="inlineStr">
        <is>
          <t>--</t>
        </is>
      </c>
      <c r="N102" s="38" t="inlineStr">
        <is>
          <t>--</t>
        </is>
      </c>
      <c r="O102" s="38" t="inlineStr">
        <is>
          <t>JJH</t>
        </is>
      </c>
      <c r="P102" s="50" t="n"/>
      <c r="Q102" s="62">
        <f>IF(C102="Yes", 1, IF(C102="no", 0, IF(C102= "tardy", SUM(J102/I102),"")))</f>
        <v/>
      </c>
      <c r="R102" s="62">
        <f>LEFT(Train_Log[[#This Row],[COURSE NAME:]],FIND(" - ", Train_Log[[#This Row],[COURSE NAME:]]) -1)</f>
        <v/>
      </c>
      <c r="S102" s="62">
        <f>MID(Train_Log[[#This Row],[COURSE NAME:]],FIND(" - ", Train_Log[[#This Row],[COURSE NAME:]]), 13)</f>
        <v/>
      </c>
      <c r="T102" s="62">
        <f>MID(E102, FIND(" - ", E102) + 3, LEN(E102)) &amp; "_" &amp; TEXT(F102, "yyyymmdd") &amp; "_" &amp; TEXT(H102, "yyyymmdd")</f>
        <v/>
      </c>
    </row>
    <row r="103">
      <c r="B103" s="38" t="inlineStr">
        <is>
          <t>EE167</t>
        </is>
      </c>
      <c r="C103" s="38" t="inlineStr">
        <is>
          <t>No</t>
        </is>
      </c>
      <c r="D103" t="inlineStr">
        <is>
          <t>6129371</t>
        </is>
      </c>
      <c r="E103" s="38" t="inlineStr">
        <is>
          <t>PHONES - LWOP</t>
        </is>
      </c>
      <c r="F103" s="40" t="n">
        <v>45806</v>
      </c>
      <c r="G103" s="40" t="n">
        <v>45806</v>
      </c>
      <c r="H103" s="40" t="n">
        <v>45806</v>
      </c>
      <c r="I103" s="41" t="n">
        <v>8</v>
      </c>
      <c r="J103" s="41" t="n">
        <v>8</v>
      </c>
      <c r="K103" s="38" t="inlineStr">
        <is>
          <t>TR 6</t>
        </is>
      </c>
      <c r="L103" s="38" t="inlineStr">
        <is>
          <t>TR 2</t>
        </is>
      </c>
      <c r="M103" s="38" t="inlineStr">
        <is>
          <t>--</t>
        </is>
      </c>
      <c r="N103" s="38" t="inlineStr">
        <is>
          <t>--</t>
        </is>
      </c>
      <c r="O103" s="38" t="inlineStr">
        <is>
          <t>JJH</t>
        </is>
      </c>
      <c r="P103" s="50" t="n"/>
      <c r="Q103" s="62">
        <f>IF(C103="Yes", 1, IF(C103="no", 0, IF(C103= "tardy", SUM(J103/I103),"")))</f>
        <v/>
      </c>
      <c r="R103" s="62">
        <f>LEFT(Train_Log[[#This Row],[COURSE NAME:]],FIND(" - ", Train_Log[[#This Row],[COURSE NAME:]]) -1)</f>
        <v/>
      </c>
      <c r="S103" s="62">
        <f>MID(Train_Log[[#This Row],[COURSE NAME:]],FIND(" - ", Train_Log[[#This Row],[COURSE NAME:]]), 13)</f>
        <v/>
      </c>
      <c r="T103" s="62">
        <f>MID(E103, FIND(" - ", E103) + 3, LEN(E103)) &amp; "_" &amp; TEXT(F103, "yyyymmdd") &amp; "_" &amp; TEXT(H103, "yyyymmdd")</f>
        <v/>
      </c>
    </row>
    <row r="104">
      <c r="B104" s="38" t="inlineStr">
        <is>
          <t>EE113</t>
        </is>
      </c>
      <c r="C104" s="38" t="inlineStr">
        <is>
          <t>No</t>
        </is>
      </c>
      <c r="D104" s="39" t="inlineStr">
        <is>
          <t>6093927</t>
        </is>
      </c>
      <c r="E104" s="38" t="inlineStr">
        <is>
          <t>PHONES - EMPLOYMENT VERIFICATION</t>
        </is>
      </c>
      <c r="F104" s="40" t="n">
        <v>45766</v>
      </c>
      <c r="G104" s="40" t="n">
        <v>45766</v>
      </c>
      <c r="H104" s="40" t="n">
        <v>45766</v>
      </c>
      <c r="I104" s="41" t="n">
        <v>4</v>
      </c>
      <c r="J104" s="41" t="n">
        <v>4</v>
      </c>
      <c r="K104" s="38" t="inlineStr">
        <is>
          <t>TR 3</t>
        </is>
      </c>
      <c r="L104" s="38" t="inlineStr">
        <is>
          <t>TR 2</t>
        </is>
      </c>
      <c r="M104" s="38" t="inlineStr">
        <is>
          <t>--</t>
        </is>
      </c>
      <c r="N104" s="38" t="inlineStr">
        <is>
          <t>--</t>
        </is>
      </c>
      <c r="O104" s="38" t="inlineStr">
        <is>
          <t>JJH</t>
        </is>
      </c>
      <c r="P104" s="44" t="n"/>
      <c r="Q104" s="62">
        <f>IF(C104="Yes", 1, IF(C104="no", 0, IF(C104= "tardy", SUM(J104/I104),"")))</f>
        <v/>
      </c>
      <c r="R104" s="62">
        <f>LEFT(Train_Log[[#This Row],[COURSE NAME:]],FIND(" - ", Train_Log[[#This Row],[COURSE NAME:]]) -1)</f>
        <v/>
      </c>
      <c r="S104" s="62">
        <f>MID(Train_Log[[#This Row],[COURSE NAME:]],FIND(" - ", Train_Log[[#This Row],[COURSE NAME:]]), 13)</f>
        <v/>
      </c>
      <c r="T104" s="62">
        <f>MID(E104, FIND(" - ", E104) + 3, LEN(E104)) &amp; "_" &amp; TEXT(F104, "yyyymmdd") &amp; "_" &amp; TEXT(H104, "yyyymmdd")</f>
        <v/>
      </c>
    </row>
    <row r="105">
      <c r="B105" s="38" t="inlineStr">
        <is>
          <t>EE121</t>
        </is>
      </c>
      <c r="C105" s="38" t="inlineStr">
        <is>
          <t>No</t>
        </is>
      </c>
      <c r="D105" s="39" t="inlineStr">
        <is>
          <t>6354548</t>
        </is>
      </c>
      <c r="E105" s="38" t="inlineStr">
        <is>
          <t>RTR - EFORM SEPARATIONS TRAINING</t>
        </is>
      </c>
      <c r="F105" s="40" t="n">
        <v>45645</v>
      </c>
      <c r="G105" s="40" t="n">
        <v>45647</v>
      </c>
      <c r="H105" s="40" t="n">
        <v>45647</v>
      </c>
      <c r="I105" s="41" t="n">
        <v>2</v>
      </c>
      <c r="J105" s="41" t="n">
        <v>2</v>
      </c>
      <c r="K105" s="38" t="inlineStr">
        <is>
          <t>TR 6</t>
        </is>
      </c>
      <c r="L105" s="38" t="inlineStr">
        <is>
          <t>--</t>
        </is>
      </c>
      <c r="M105" s="38" t="inlineStr">
        <is>
          <t>--</t>
        </is>
      </c>
      <c r="N105" s="38" t="inlineStr">
        <is>
          <t>--</t>
        </is>
      </c>
      <c r="O105" s="38" t="inlineStr">
        <is>
          <t>JJH</t>
        </is>
      </c>
      <c r="P105" s="44" t="n"/>
      <c r="Q105" s="62">
        <f>IF(C105="Yes", 1, IF(C105="no", 0, IF(C105= "tardy", SUM(J105/I105),"")))</f>
        <v/>
      </c>
      <c r="R105" s="62">
        <f>LEFT(Train_Log[[#This Row],[COURSE NAME:]],FIND(" - ", Train_Log[[#This Row],[COURSE NAME:]]) -1)</f>
        <v/>
      </c>
      <c r="S105" s="62">
        <f>MID(Train_Log[[#This Row],[COURSE NAME:]],FIND(" - ", Train_Log[[#This Row],[COURSE NAME:]]), 13)</f>
        <v/>
      </c>
      <c r="T105" s="62">
        <f>MID(E105, FIND(" - ", E105) + 3, LEN(E105)) &amp; "_" &amp; TEXT(F105, "yyyymmdd") &amp; "_" &amp; TEXT(H105, "yyyymmdd")</f>
        <v/>
      </c>
    </row>
    <row r="106">
      <c r="B106" s="38" t="inlineStr">
        <is>
          <t>EE137</t>
        </is>
      </c>
      <c r="C106" s="38" t="inlineStr">
        <is>
          <t>No</t>
        </is>
      </c>
      <c r="D106" s="39" t="inlineStr">
        <is>
          <t>6631699</t>
        </is>
      </c>
      <c r="E106" s="38" t="inlineStr">
        <is>
          <t>LWOP - HCES SU FACILITATION TRAINING</t>
        </is>
      </c>
      <c r="F106" s="40" t="n">
        <v>45623</v>
      </c>
      <c r="G106" s="40" t="n">
        <v>45627</v>
      </c>
      <c r="H106" s="40" t="n">
        <v>45627</v>
      </c>
      <c r="I106" s="41" t="n">
        <v>4</v>
      </c>
      <c r="J106" s="41" t="n">
        <v>4</v>
      </c>
      <c r="K106" s="38" t="inlineStr">
        <is>
          <t>TR 9</t>
        </is>
      </c>
      <c r="L106" s="38" t="inlineStr">
        <is>
          <t>TR 1</t>
        </is>
      </c>
      <c r="M106" s="38" t="inlineStr">
        <is>
          <t>--</t>
        </is>
      </c>
      <c r="N106" s="38" t="inlineStr">
        <is>
          <t>--</t>
        </is>
      </c>
      <c r="O106" s="38" t="inlineStr">
        <is>
          <t>JJH</t>
        </is>
      </c>
      <c r="P106" s="59" t="n"/>
      <c r="Q106" s="62">
        <f>IF(C106="Yes", 1, IF(C106="no", 0, IF(C106= "tardy", SUM(J106/I106),"")))</f>
        <v/>
      </c>
      <c r="R106" s="62">
        <f>LEFT(Train_Log[[#This Row],[COURSE NAME:]],FIND(" - ", Train_Log[[#This Row],[COURSE NAME:]]) -1)</f>
        <v/>
      </c>
      <c r="S106" s="62">
        <f>MID(Train_Log[[#This Row],[COURSE NAME:]],FIND(" - ", Train_Log[[#This Row],[COURSE NAME:]]), 13)</f>
        <v/>
      </c>
      <c r="T106" s="62">
        <f>MID(E106, FIND(" - ", E106) + 3, LEN(E106)) &amp; "_" &amp; TEXT(F106, "yyyymmdd") &amp; "_" &amp; TEXT(H106, "yyyymmdd")</f>
        <v/>
      </c>
    </row>
    <row r="107">
      <c r="B107" s="38" t="inlineStr">
        <is>
          <t>EE159</t>
        </is>
      </c>
      <c r="C107" s="38" t="inlineStr">
        <is>
          <t>No</t>
        </is>
      </c>
      <c r="D107" s="39" t="inlineStr">
        <is>
          <t>5231028</t>
        </is>
      </c>
      <c r="E107" s="38" t="inlineStr">
        <is>
          <t>PHONES - EMPLOYMENT VERIFICATION</t>
        </is>
      </c>
      <c r="F107" s="40" t="n">
        <v>45539</v>
      </c>
      <c r="G107" s="40" t="n">
        <v>45543</v>
      </c>
      <c r="H107" s="40" t="n">
        <v>45543</v>
      </c>
      <c r="I107" s="41" t="n">
        <v>3</v>
      </c>
      <c r="J107" s="41" t="n">
        <v>3</v>
      </c>
      <c r="K107" s="38" t="inlineStr">
        <is>
          <t>TR 4</t>
        </is>
      </c>
      <c r="L107" s="38" t="inlineStr">
        <is>
          <t>TR 2</t>
        </is>
      </c>
      <c r="M107" s="38" t="inlineStr">
        <is>
          <t>--</t>
        </is>
      </c>
      <c r="N107" s="38" t="inlineStr">
        <is>
          <t>--</t>
        </is>
      </c>
      <c r="O107" s="38" t="inlineStr">
        <is>
          <t>JJH</t>
        </is>
      </c>
      <c r="P107" s="59" t="n"/>
      <c r="Q107" s="62">
        <f>IF(C107="Yes", 1, IF(C107="no", 0, IF(C107= "tardy", SUM(J107/I107),"")))</f>
        <v/>
      </c>
      <c r="R107" s="62">
        <f>LEFT(Train_Log[[#This Row],[COURSE NAME:]],FIND(" - ", Train_Log[[#This Row],[COURSE NAME:]]) -1)</f>
        <v/>
      </c>
      <c r="S107" s="62">
        <f>MID(Train_Log[[#This Row],[COURSE NAME:]],FIND(" - ", Train_Log[[#This Row],[COURSE NAME:]]), 13)</f>
        <v/>
      </c>
      <c r="T107" s="62">
        <f>MID(E107, FIND(" - ", E107) + 3, LEN(E107)) &amp; "_" &amp; TEXT(F107, "yyyymmdd") &amp; "_" &amp; TEXT(H107, "yyyymmdd")</f>
        <v/>
      </c>
    </row>
    <row r="108">
      <c r="B108" s="38" t="inlineStr">
        <is>
          <t>EE112</t>
        </is>
      </c>
      <c r="C108" s="38" t="inlineStr">
        <is>
          <t>No</t>
        </is>
      </c>
      <c r="D108" s="39" t="inlineStr">
        <is>
          <t>6749109</t>
        </is>
      </c>
      <c r="E108" s="38" t="inlineStr">
        <is>
          <t>PHONES - EMPLOYMENT VERIFICATION</t>
        </is>
      </c>
      <c r="F108" s="40" t="n">
        <v>45401</v>
      </c>
      <c r="G108" s="40" t="n">
        <v>45402</v>
      </c>
      <c r="H108" s="40" t="n">
        <v>45402</v>
      </c>
      <c r="I108" s="41" t="n">
        <v>3</v>
      </c>
      <c r="J108" s="41" t="n">
        <v>3</v>
      </c>
      <c r="K108" s="38" t="inlineStr">
        <is>
          <t>TR 1</t>
        </is>
      </c>
      <c r="L108" s="38" t="inlineStr">
        <is>
          <t>TR 1</t>
        </is>
      </c>
      <c r="M108" s="38" t="inlineStr">
        <is>
          <t>--</t>
        </is>
      </c>
      <c r="N108" s="38" t="inlineStr">
        <is>
          <t>--</t>
        </is>
      </c>
      <c r="O108" s="38" t="inlineStr">
        <is>
          <t>JJH</t>
        </is>
      </c>
      <c r="P108" s="59" t="n"/>
      <c r="Q108" s="62">
        <f>IF(C108="Yes", 1, IF(C108="no", 0, IF(C108= "tardy", SUM(J108/I108),"")))</f>
        <v/>
      </c>
      <c r="R108" s="62">
        <f>LEFT(Train_Log[[#This Row],[COURSE NAME:]],FIND(" - ", Train_Log[[#This Row],[COURSE NAME:]]) -1)</f>
        <v/>
      </c>
      <c r="S108" s="62">
        <f>MID(Train_Log[[#This Row],[COURSE NAME:]],FIND(" - ", Train_Log[[#This Row],[COURSE NAME:]]), 13)</f>
        <v/>
      </c>
      <c r="T108" s="62">
        <f>MID(E108, FIND(" - ", E108) + 3, LEN(E108)) &amp; "_" &amp; TEXT(F108, "yyyymmdd") &amp; "_" &amp; TEXT(H108, "yyyymmdd")</f>
        <v/>
      </c>
    </row>
    <row r="109">
      <c r="B109" s="38" t="inlineStr">
        <is>
          <t>EE84</t>
        </is>
      </c>
      <c r="C109" s="38" t="inlineStr">
        <is>
          <t>No</t>
        </is>
      </c>
      <c r="D109" s="39" t="inlineStr">
        <is>
          <t>6718057</t>
        </is>
      </c>
      <c r="E109" s="38" t="inlineStr">
        <is>
          <t>PHONES - BENEFITS</t>
        </is>
      </c>
      <c r="F109" s="40" t="n">
        <v>45599</v>
      </c>
      <c r="G109" s="40" t="n">
        <v>45599</v>
      </c>
      <c r="H109" s="40" t="n">
        <v>45599</v>
      </c>
      <c r="I109" s="41" t="n">
        <v>2</v>
      </c>
      <c r="J109" s="41" t="n">
        <v>2</v>
      </c>
      <c r="K109" s="38" t="inlineStr">
        <is>
          <t>TR 4</t>
        </is>
      </c>
      <c r="L109" s="38" t="inlineStr">
        <is>
          <t>TR 9</t>
        </is>
      </c>
      <c r="M109" s="38" t="inlineStr">
        <is>
          <t>--</t>
        </is>
      </c>
      <c r="N109" s="38" t="inlineStr">
        <is>
          <t>--</t>
        </is>
      </c>
      <c r="O109" s="38" t="inlineStr">
        <is>
          <t>JJH</t>
        </is>
      </c>
      <c r="P109" s="59" t="n"/>
      <c r="Q109" s="62">
        <f>IF(C109="Yes", 1, IF(C109="no", 0, IF(C109= "tardy", SUM(J109/I109),"")))</f>
        <v/>
      </c>
      <c r="R109" s="62">
        <f>LEFT(Train_Log[[#This Row],[COURSE NAME:]],FIND(" - ", Train_Log[[#This Row],[COURSE NAME:]]) -1)</f>
        <v/>
      </c>
      <c r="S109" s="62">
        <f>MID(Train_Log[[#This Row],[COURSE NAME:]],FIND(" - ", Train_Log[[#This Row],[COURSE NAME:]]), 13)</f>
        <v/>
      </c>
      <c r="T109" s="62">
        <f>MID(E109, FIND(" - ", E109) + 3, LEN(E109)) &amp; "_" &amp; TEXT(F109, "yyyymmdd") &amp; "_" &amp; TEXT(H109, "yyyymmdd")</f>
        <v/>
      </c>
    </row>
    <row r="110">
      <c r="B110" s="38" t="inlineStr">
        <is>
          <t>EE106</t>
        </is>
      </c>
      <c r="C110" s="38" t="inlineStr">
        <is>
          <t>No</t>
        </is>
      </c>
      <c r="D110" s="39" t="inlineStr">
        <is>
          <t>5122986</t>
        </is>
      </c>
      <c r="E110" s="38" t="inlineStr">
        <is>
          <t>PHONES - LWOP</t>
        </is>
      </c>
      <c r="F110" s="44" t="n">
        <v>45473</v>
      </c>
      <c r="G110" s="40" t="n">
        <v>45473</v>
      </c>
      <c r="H110" s="44" t="n">
        <v>45473</v>
      </c>
      <c r="I110" s="41" t="n">
        <v>4</v>
      </c>
      <c r="J110" s="42" t="n">
        <v>4</v>
      </c>
      <c r="K110" s="38" t="inlineStr">
        <is>
          <t>TR 10</t>
        </is>
      </c>
      <c r="L110" s="38" t="inlineStr">
        <is>
          <t>--</t>
        </is>
      </c>
      <c r="M110" s="38" t="inlineStr">
        <is>
          <t>--</t>
        </is>
      </c>
      <c r="N110" s="38" t="inlineStr">
        <is>
          <t>--</t>
        </is>
      </c>
      <c r="O110" s="38" t="inlineStr">
        <is>
          <t>JJH</t>
        </is>
      </c>
      <c r="Q110" s="62">
        <f>IF(C110="Yes", 1, IF(C110="no", 0, IF(C110= "tardy", SUM(J110/I110),"")))</f>
        <v/>
      </c>
      <c r="R110" s="62">
        <f>LEFT(Train_Log[[#This Row],[COURSE NAME:]],FIND(" - ", Train_Log[[#This Row],[COURSE NAME:]]) -1)</f>
        <v/>
      </c>
      <c r="S110" s="62">
        <f>MID(Train_Log[[#This Row],[COURSE NAME:]],FIND(" - ", Train_Log[[#This Row],[COURSE NAME:]]), 13)</f>
        <v/>
      </c>
      <c r="T110" s="62">
        <f>MID(E110, FIND(" - ", E110) + 3, LEN(E110)) &amp; "_" &amp; TEXT(F110, "yyyymmdd") &amp; "_" &amp; TEXT(H110, "yyyymmdd")</f>
        <v/>
      </c>
    </row>
    <row r="111">
      <c r="B111" s="38" t="inlineStr">
        <is>
          <t>EE62</t>
        </is>
      </c>
      <c r="C111" s="38" t="inlineStr">
        <is>
          <t>No</t>
        </is>
      </c>
      <c r="D111" s="39" t="inlineStr">
        <is>
          <t>6955188</t>
        </is>
      </c>
      <c r="E111" s="38" t="inlineStr">
        <is>
          <t>OPTIONAL RETIREMENTS - MAILBUILD</t>
        </is>
      </c>
      <c r="F111" s="44" t="n">
        <v>45445</v>
      </c>
      <c r="G111" s="40" t="n">
        <v>45445</v>
      </c>
      <c r="H111" s="44" t="n">
        <v>45445</v>
      </c>
      <c r="I111" s="41" t="n">
        <v>3</v>
      </c>
      <c r="J111" s="42" t="n">
        <v>3</v>
      </c>
      <c r="K111" s="38" t="inlineStr">
        <is>
          <t>TR 8</t>
        </is>
      </c>
      <c r="L111" s="38" t="inlineStr">
        <is>
          <t>TR 5</t>
        </is>
      </c>
      <c r="M111" s="38" t="inlineStr">
        <is>
          <t>--</t>
        </is>
      </c>
      <c r="N111" s="38" t="inlineStr">
        <is>
          <t>--</t>
        </is>
      </c>
      <c r="O111" s="38" t="inlineStr">
        <is>
          <t>JJH</t>
        </is>
      </c>
      <c r="Q111" s="62">
        <f>IF(C111="Yes", 1, IF(C111="no", 0, IF(C111= "tardy", SUM(J111/I111),"")))</f>
        <v/>
      </c>
      <c r="R111" s="62">
        <f>LEFT(Train_Log[[#This Row],[COURSE NAME:]],FIND(" - ", Train_Log[[#This Row],[COURSE NAME:]]) -1)</f>
        <v/>
      </c>
      <c r="S111" s="62">
        <f>MID(Train_Log[[#This Row],[COURSE NAME:]],FIND(" - ", Train_Log[[#This Row],[COURSE NAME:]]), 13)</f>
        <v/>
      </c>
      <c r="T111" s="62">
        <f>MID(E111, FIND(" - ", E111) + 3, LEN(E111)) &amp; "_" &amp; TEXT(F111, "yyyymmdd") &amp; "_" &amp; TEXT(H111, "yyyymmdd")</f>
        <v/>
      </c>
    </row>
    <row r="112">
      <c r="B112" s="38" t="inlineStr">
        <is>
          <t>EE171</t>
        </is>
      </c>
      <c r="C112" s="38" t="inlineStr">
        <is>
          <t>No</t>
        </is>
      </c>
      <c r="D112" s="39" t="inlineStr">
        <is>
          <t>6679948</t>
        </is>
      </c>
      <c r="E112" s="38" t="inlineStr">
        <is>
          <t>PHONES - BENEFITS</t>
        </is>
      </c>
      <c r="F112" s="44" t="n">
        <v>45775</v>
      </c>
      <c r="G112" s="40" t="n">
        <v>45775</v>
      </c>
      <c r="H112" s="44" t="n">
        <v>45775</v>
      </c>
      <c r="I112" s="41" t="n">
        <v>2</v>
      </c>
      <c r="J112" s="42" t="n">
        <v>2</v>
      </c>
      <c r="K112" s="38" t="inlineStr">
        <is>
          <t>TR 2</t>
        </is>
      </c>
      <c r="L112" s="38" t="inlineStr">
        <is>
          <t>TR 8</t>
        </is>
      </c>
      <c r="M112" s="38" t="inlineStr">
        <is>
          <t>--</t>
        </is>
      </c>
      <c r="N112" s="38" t="inlineStr">
        <is>
          <t>--</t>
        </is>
      </c>
      <c r="O112" s="38" t="inlineStr">
        <is>
          <t>JJH</t>
        </is>
      </c>
      <c r="Q112" s="62">
        <f>IF(C112="Yes", 1, IF(C112="no", 0, IF(C112= "tardy", SUM(J112/I112),"")))</f>
        <v/>
      </c>
      <c r="R112" s="62">
        <f>LEFT(Train_Log[[#This Row],[COURSE NAME:]],FIND(" - ", Train_Log[[#This Row],[COURSE NAME:]]) -1)</f>
        <v/>
      </c>
      <c r="S112" s="62">
        <f>MID(Train_Log[[#This Row],[COURSE NAME:]],FIND(" - ", Train_Log[[#This Row],[COURSE NAME:]]), 13)</f>
        <v/>
      </c>
      <c r="T112" s="62">
        <f>MID(E112, FIND(" - ", E112) + 3, LEN(E112)) &amp; "_" &amp; TEXT(F112, "yyyymmdd") &amp; "_" &amp; TEXT(H112, "yyyymmdd")</f>
        <v/>
      </c>
    </row>
    <row r="113">
      <c r="B113" s="38" t="inlineStr">
        <is>
          <t>EE89</t>
        </is>
      </c>
      <c r="C113" s="38" t="inlineStr">
        <is>
          <t>No</t>
        </is>
      </c>
      <c r="D113" s="39" t="inlineStr">
        <is>
          <t>6240345</t>
        </is>
      </c>
      <c r="E113" s="38" t="inlineStr">
        <is>
          <t>RTR - EFORM SEPARATIONS TRAINING</t>
        </is>
      </c>
      <c r="F113" s="44" t="n">
        <v>45733</v>
      </c>
      <c r="G113" s="40" t="n">
        <v>45737</v>
      </c>
      <c r="H113" s="44" t="n">
        <v>45737</v>
      </c>
      <c r="I113" s="41" t="n">
        <v>3</v>
      </c>
      <c r="J113" s="42" t="n">
        <v>3</v>
      </c>
      <c r="K113" s="38" t="inlineStr">
        <is>
          <t>TR 4</t>
        </is>
      </c>
      <c r="L113" s="38" t="inlineStr">
        <is>
          <t>TR 7</t>
        </is>
      </c>
      <c r="M113" s="38" t="inlineStr">
        <is>
          <t>--</t>
        </is>
      </c>
      <c r="N113" s="38" t="inlineStr">
        <is>
          <t>--</t>
        </is>
      </c>
      <c r="O113" s="38" t="inlineStr">
        <is>
          <t>JJH</t>
        </is>
      </c>
      <c r="Q113" s="62">
        <f>IF(C113="Yes", 1, IF(C113="no", 0, IF(C113= "tardy", SUM(J113/I113),"")))</f>
        <v/>
      </c>
      <c r="R113" s="62">
        <f>LEFT(Train_Log[[#This Row],[COURSE NAME:]],FIND(" - ", Train_Log[[#This Row],[COURSE NAME:]]) -1)</f>
        <v/>
      </c>
      <c r="S113" s="62">
        <f>MID(Train_Log[[#This Row],[COURSE NAME:]],FIND(" - ", Train_Log[[#This Row],[COURSE NAME:]]), 13)</f>
        <v/>
      </c>
      <c r="T113" s="62">
        <f>MID(E113, FIND(" - ", E113) + 3, LEN(E113)) &amp; "_" &amp; TEXT(F113, "yyyymmdd") &amp; "_" &amp; TEXT(H113, "yyyymmdd")</f>
        <v/>
      </c>
    </row>
    <row r="114">
      <c r="B114" s="38" t="inlineStr">
        <is>
          <t>EE124</t>
        </is>
      </c>
      <c r="C114" s="38" t="inlineStr">
        <is>
          <t>No</t>
        </is>
      </c>
      <c r="D114" s="39" t="inlineStr">
        <is>
          <t>6451931</t>
        </is>
      </c>
      <c r="E114" s="38" t="inlineStr">
        <is>
          <t>PHONES - EMPLOYMENT VERIFICATION</t>
        </is>
      </c>
      <c r="F114" s="44" t="n">
        <v>45541</v>
      </c>
      <c r="G114" s="40" t="n">
        <v>45542</v>
      </c>
      <c r="H114" s="44" t="n">
        <v>45542</v>
      </c>
      <c r="I114" s="41" t="n">
        <v>8</v>
      </c>
      <c r="J114" s="42" t="n">
        <v>8</v>
      </c>
      <c r="K114" s="38" t="inlineStr">
        <is>
          <t>TR 5</t>
        </is>
      </c>
      <c r="L114" s="38" t="inlineStr">
        <is>
          <t>TR 5</t>
        </is>
      </c>
      <c r="M114" s="38" t="inlineStr">
        <is>
          <t>--</t>
        </is>
      </c>
      <c r="N114" s="38" t="inlineStr">
        <is>
          <t>--</t>
        </is>
      </c>
      <c r="O114" s="38" t="inlineStr">
        <is>
          <t>JJH</t>
        </is>
      </c>
      <c r="Q114" s="62">
        <f>IF(C114="Yes", 1, IF(C114="no", 0, IF(C114= "tardy", SUM(J114/I114),"")))</f>
        <v/>
      </c>
      <c r="R114" s="62">
        <f>LEFT(Train_Log[[#This Row],[COURSE NAME:]],FIND(" - ", Train_Log[[#This Row],[COURSE NAME:]]) -1)</f>
        <v/>
      </c>
      <c r="S114" s="62">
        <f>MID(Train_Log[[#This Row],[COURSE NAME:]],FIND(" - ", Train_Log[[#This Row],[COURSE NAME:]]), 13)</f>
        <v/>
      </c>
      <c r="T114" s="62">
        <f>MID(E114, FIND(" - ", E114) + 3, LEN(E114)) &amp; "_" &amp; TEXT(F114, "yyyymmdd") &amp; "_" &amp; TEXT(H114, "yyyymmdd")</f>
        <v/>
      </c>
    </row>
    <row r="115">
      <c r="B115" s="38" t="inlineStr">
        <is>
          <t>EE6</t>
        </is>
      </c>
      <c r="C115" s="38" t="inlineStr">
        <is>
          <t>No</t>
        </is>
      </c>
      <c r="D115" s="39" t="inlineStr">
        <is>
          <t>4936213</t>
        </is>
      </c>
      <c r="E115" s="38" t="inlineStr">
        <is>
          <t>LWOP - HCES SU FACILITATION TRAINING</t>
        </is>
      </c>
      <c r="F115" s="44" t="n">
        <v>45580</v>
      </c>
      <c r="G115" s="40" t="n">
        <v>45580</v>
      </c>
      <c r="H115" s="44" t="n">
        <v>45580</v>
      </c>
      <c r="I115" s="41" t="n">
        <v>2</v>
      </c>
      <c r="J115" s="42" t="n">
        <v>2</v>
      </c>
      <c r="K115" s="38" t="inlineStr">
        <is>
          <t>TR 10</t>
        </is>
      </c>
      <c r="L115" s="38" t="inlineStr">
        <is>
          <t>TR 8</t>
        </is>
      </c>
      <c r="M115" s="38" t="inlineStr">
        <is>
          <t>--</t>
        </is>
      </c>
      <c r="N115" s="38" t="inlineStr">
        <is>
          <t>--</t>
        </is>
      </c>
      <c r="O115" s="38" t="inlineStr">
        <is>
          <t>JJH</t>
        </is>
      </c>
      <c r="Q115" s="62">
        <f>IF(C115="Yes", 1, IF(C115="no", 0, IF(C115= "tardy", SUM(J115/I115),"")))</f>
        <v/>
      </c>
      <c r="R115" s="62">
        <f>LEFT(Train_Log[[#This Row],[COURSE NAME:]],FIND(" - ", Train_Log[[#This Row],[COURSE NAME:]]) -1)</f>
        <v/>
      </c>
      <c r="S115" s="62">
        <f>MID(Train_Log[[#This Row],[COURSE NAME:]],FIND(" - ", Train_Log[[#This Row],[COURSE NAME:]]), 13)</f>
        <v/>
      </c>
      <c r="T115" s="62">
        <f>MID(E115, FIND(" - ", E115) + 3, LEN(E115)) &amp; "_" &amp; TEXT(F115, "yyyymmdd") &amp; "_" &amp; TEXT(H115, "yyyymmdd")</f>
        <v/>
      </c>
    </row>
    <row r="116">
      <c r="B116" s="38" t="inlineStr">
        <is>
          <t>EE74</t>
        </is>
      </c>
      <c r="C116" s="38" t="inlineStr">
        <is>
          <t>No</t>
        </is>
      </c>
      <c r="D116" s="39" t="inlineStr">
        <is>
          <t>6666253</t>
        </is>
      </c>
      <c r="E116" s="38" t="inlineStr">
        <is>
          <t>SUPPORT - TRAINING - PTSP TRAINING</t>
        </is>
      </c>
      <c r="F116" s="44" t="n">
        <v>45659</v>
      </c>
      <c r="G116" s="40" t="n">
        <v>45659</v>
      </c>
      <c r="H116" s="44" t="n">
        <v>45659</v>
      </c>
      <c r="I116" s="41" t="n">
        <v>8</v>
      </c>
      <c r="J116" s="42" t="n">
        <v>8</v>
      </c>
      <c r="K116" s="38" t="inlineStr">
        <is>
          <t>TR 5</t>
        </is>
      </c>
      <c r="L116" s="38" t="inlineStr">
        <is>
          <t>--</t>
        </is>
      </c>
      <c r="M116" s="38" t="inlineStr">
        <is>
          <t>--</t>
        </is>
      </c>
      <c r="N116" s="38" t="inlineStr">
        <is>
          <t>--</t>
        </is>
      </c>
      <c r="O116" s="38" t="inlineStr">
        <is>
          <t>JJH</t>
        </is>
      </c>
      <c r="Q116" s="62">
        <f>IF(C116="Yes", 1, IF(C116="no", 0, IF(C116= "tardy", SUM(J116/I116),"")))</f>
        <v/>
      </c>
      <c r="R116" s="62">
        <f>LEFT(Train_Log[[#This Row],[COURSE NAME:]],FIND(" - ", Train_Log[[#This Row],[COURSE NAME:]]) -1)</f>
        <v/>
      </c>
      <c r="S116" s="62">
        <f>MID(Train_Log[[#This Row],[COURSE NAME:]],FIND(" - ", Train_Log[[#This Row],[COURSE NAME:]]), 13)</f>
        <v/>
      </c>
      <c r="T116" s="62">
        <f>MID(E116, FIND(" - ", E116) + 3, LEN(E116)) &amp; "_" &amp; TEXT(F116, "yyyymmdd") &amp; "_" &amp; TEXT(H116, "yyyymmdd")</f>
        <v/>
      </c>
    </row>
    <row r="117">
      <c r="B117" s="38" t="inlineStr">
        <is>
          <t>EE185</t>
        </is>
      </c>
      <c r="C117" s="38" t="inlineStr">
        <is>
          <t>No</t>
        </is>
      </c>
      <c r="D117" s="39" t="inlineStr">
        <is>
          <t>4469207</t>
        </is>
      </c>
      <c r="E117" s="38" t="inlineStr">
        <is>
          <t>PHONES - LWOP</t>
        </is>
      </c>
      <c r="F117" s="44" t="n">
        <v>45398</v>
      </c>
      <c r="G117" s="40" t="n">
        <v>45402</v>
      </c>
      <c r="H117" s="44" t="n">
        <v>45402</v>
      </c>
      <c r="I117" s="41" t="n">
        <v>3</v>
      </c>
      <c r="J117" s="42" t="n">
        <v>3</v>
      </c>
      <c r="K117" s="38" t="inlineStr">
        <is>
          <t>TR 8</t>
        </is>
      </c>
      <c r="L117" s="38" t="inlineStr">
        <is>
          <t>TR 1</t>
        </is>
      </c>
      <c r="M117" s="38" t="inlineStr">
        <is>
          <t>--</t>
        </is>
      </c>
      <c r="N117" s="38" t="inlineStr">
        <is>
          <t>--</t>
        </is>
      </c>
      <c r="O117" s="38" t="inlineStr">
        <is>
          <t>JJH</t>
        </is>
      </c>
      <c r="Q117" s="62">
        <f>IF(C117="Yes", 1, IF(C117="no", 0, IF(C117= "tardy", SUM(J117/I117),"")))</f>
        <v/>
      </c>
      <c r="R117" s="62">
        <f>LEFT(Train_Log[[#This Row],[COURSE NAME:]],FIND(" - ", Train_Log[[#This Row],[COURSE NAME:]]) -1)</f>
        <v/>
      </c>
      <c r="S117" s="62">
        <f>MID(Train_Log[[#This Row],[COURSE NAME:]],FIND(" - ", Train_Log[[#This Row],[COURSE NAME:]]), 13)</f>
        <v/>
      </c>
      <c r="T117" s="62">
        <f>MID(E117, FIND(" - ", E117) + 3, LEN(E117)) &amp; "_" &amp; TEXT(F117, "yyyymmdd") &amp; "_" &amp; TEXT(H117, "yyyymmdd")</f>
        <v/>
      </c>
    </row>
    <row r="118">
      <c r="B118" s="38" t="inlineStr">
        <is>
          <t>EE149</t>
        </is>
      </c>
      <c r="C118" s="38" t="inlineStr">
        <is>
          <t>No</t>
        </is>
      </c>
      <c r="D118" s="39" t="inlineStr">
        <is>
          <t>6320397</t>
        </is>
      </c>
      <c r="E118" s="38" t="inlineStr">
        <is>
          <t>LWOP - HCES SUPERUSER TRAINING</t>
        </is>
      </c>
      <c r="F118" s="44" t="n">
        <v>45433</v>
      </c>
      <c r="G118" s="40" t="n">
        <v>45433</v>
      </c>
      <c r="H118" s="44" t="n">
        <v>45433</v>
      </c>
      <c r="I118" s="41" t="n">
        <v>3</v>
      </c>
      <c r="J118" s="42" t="n">
        <v>3</v>
      </c>
      <c r="K118" s="38" t="inlineStr">
        <is>
          <t>TR 7</t>
        </is>
      </c>
      <c r="L118" s="38" t="inlineStr">
        <is>
          <t>TR 3</t>
        </is>
      </c>
      <c r="M118" s="38" t="inlineStr">
        <is>
          <t>--</t>
        </is>
      </c>
      <c r="N118" s="38" t="inlineStr">
        <is>
          <t>--</t>
        </is>
      </c>
      <c r="O118" s="38" t="inlineStr">
        <is>
          <t>JJH</t>
        </is>
      </c>
      <c r="Q118" s="62">
        <f>IF(C118="Yes", 1, IF(C118="no", 0, IF(C118= "tardy", SUM(J118/I118),"")))</f>
        <v/>
      </c>
      <c r="R118" s="62">
        <f>LEFT(Train_Log[[#This Row],[COURSE NAME:]],FIND(" - ", Train_Log[[#This Row],[COURSE NAME:]]) -1)</f>
        <v/>
      </c>
      <c r="S118" s="62">
        <f>MID(Train_Log[[#This Row],[COURSE NAME:]],FIND(" - ", Train_Log[[#This Row],[COURSE NAME:]]), 13)</f>
        <v/>
      </c>
      <c r="T118" s="62">
        <f>MID(E118, FIND(" - ", E118) + 3, LEN(E118)) &amp; "_" &amp; TEXT(F118, "yyyymmdd") &amp; "_" &amp; TEXT(H118, "yyyymmdd")</f>
        <v/>
      </c>
    </row>
    <row r="119">
      <c r="B119" s="38" t="inlineStr">
        <is>
          <t>EE52</t>
        </is>
      </c>
      <c r="C119" s="38" t="inlineStr">
        <is>
          <t>No</t>
        </is>
      </c>
      <c r="D119" s="39" t="inlineStr">
        <is>
          <t>4523558</t>
        </is>
      </c>
      <c r="E119" s="38" t="inlineStr">
        <is>
          <t>PHONES - LWOP</t>
        </is>
      </c>
      <c r="F119" s="44" t="n">
        <v>45673</v>
      </c>
      <c r="G119" s="40" t="n">
        <v>45675</v>
      </c>
      <c r="H119" s="44" t="n">
        <v>45675</v>
      </c>
      <c r="I119" s="41" t="n">
        <v>3</v>
      </c>
      <c r="J119" s="42" t="n">
        <v>3</v>
      </c>
      <c r="K119" s="38" t="inlineStr">
        <is>
          <t>TR 3</t>
        </is>
      </c>
      <c r="L119" s="38" t="inlineStr">
        <is>
          <t>TR 5</t>
        </is>
      </c>
      <c r="M119" s="38" t="inlineStr">
        <is>
          <t>--</t>
        </is>
      </c>
      <c r="N119" s="38" t="inlineStr">
        <is>
          <t>--</t>
        </is>
      </c>
      <c r="O119" s="38" t="inlineStr">
        <is>
          <t>JJH</t>
        </is>
      </c>
      <c r="Q119" s="62">
        <f>IF(C119="Yes", 1, IF(C119="no", 0, IF(C119= "tardy", SUM(J119/I119),"")))</f>
        <v/>
      </c>
      <c r="R119" s="62">
        <f>LEFT(Train_Log[[#This Row],[COURSE NAME:]],FIND(" - ", Train_Log[[#This Row],[COURSE NAME:]]) -1)</f>
        <v/>
      </c>
      <c r="S119" s="62">
        <f>MID(Train_Log[[#This Row],[COURSE NAME:]],FIND(" - ", Train_Log[[#This Row],[COURSE NAME:]]), 13)</f>
        <v/>
      </c>
      <c r="T119" s="62">
        <f>MID(E119, FIND(" - ", E119) + 3, LEN(E119)) &amp; "_" &amp; TEXT(F119, "yyyymmdd") &amp; "_" &amp; TEXT(H119, "yyyymmdd")</f>
        <v/>
      </c>
    </row>
    <row r="120">
      <c r="B120" s="38" t="inlineStr">
        <is>
          <t>EE124</t>
        </is>
      </c>
      <c r="C120" s="38" t="inlineStr">
        <is>
          <t>No</t>
        </is>
      </c>
      <c r="D120" s="39" t="inlineStr">
        <is>
          <t>6451931</t>
        </is>
      </c>
      <c r="E120" s="38" t="inlineStr">
        <is>
          <t>RTR - EFORM SEPARATIONS TRAINING</t>
        </is>
      </c>
      <c r="F120" s="44" t="n">
        <v>45645</v>
      </c>
      <c r="G120" s="40" t="n">
        <v>45645</v>
      </c>
      <c r="H120" s="44" t="n">
        <v>45645</v>
      </c>
      <c r="I120" s="41" t="n">
        <v>2</v>
      </c>
      <c r="J120" s="42" t="n">
        <v>2</v>
      </c>
      <c r="K120" s="38" t="inlineStr">
        <is>
          <t>TR 3</t>
        </is>
      </c>
      <c r="L120" s="38" t="inlineStr">
        <is>
          <t>TR 4</t>
        </is>
      </c>
      <c r="M120" s="38" t="inlineStr">
        <is>
          <t>--</t>
        </is>
      </c>
      <c r="N120" s="38" t="inlineStr">
        <is>
          <t>--</t>
        </is>
      </c>
      <c r="O120" s="38" t="inlineStr">
        <is>
          <t>JJH</t>
        </is>
      </c>
      <c r="Q120" s="62">
        <f>IF(C120="Yes", 1, IF(C120="no", 0, IF(C120= "tardy", SUM(J120/I120),"")))</f>
        <v/>
      </c>
      <c r="R120" s="62">
        <f>LEFT(Train_Log[[#This Row],[COURSE NAME:]],FIND(" - ", Train_Log[[#This Row],[COURSE NAME:]]) -1)</f>
        <v/>
      </c>
      <c r="S120" s="62">
        <f>MID(Train_Log[[#This Row],[COURSE NAME:]],FIND(" - ", Train_Log[[#This Row],[COURSE NAME:]]), 13)</f>
        <v/>
      </c>
      <c r="T120" s="62">
        <f>MID(E120, FIND(" - ", E120) + 3, LEN(E120)) &amp; "_" &amp; TEXT(F120, "yyyymmdd") &amp; "_" &amp; TEXT(H120, "yyyymmdd")</f>
        <v/>
      </c>
    </row>
    <row r="121">
      <c r="B121" s="38" t="inlineStr">
        <is>
          <t>EE174</t>
        </is>
      </c>
      <c r="C121" s="38" t="inlineStr">
        <is>
          <t>No</t>
        </is>
      </c>
      <c r="D121" s="39" t="inlineStr">
        <is>
          <t>4834293</t>
        </is>
      </c>
      <c r="E121" s="38" t="inlineStr">
        <is>
          <t>LWOP - HCES SU FACILITATION TRAINING</t>
        </is>
      </c>
      <c r="F121" s="44" t="n">
        <v>45673</v>
      </c>
      <c r="G121" s="40" t="n">
        <v>45673</v>
      </c>
      <c r="H121" s="44" t="n">
        <v>45673</v>
      </c>
      <c r="I121" s="41" t="n">
        <v>2</v>
      </c>
      <c r="J121" s="42" t="n">
        <v>2</v>
      </c>
      <c r="K121" s="38" t="inlineStr">
        <is>
          <t>TR 5</t>
        </is>
      </c>
      <c r="L121" s="38" t="inlineStr">
        <is>
          <t>TR 9</t>
        </is>
      </c>
      <c r="M121" s="38" t="inlineStr">
        <is>
          <t>--</t>
        </is>
      </c>
      <c r="N121" s="38" t="inlineStr">
        <is>
          <t>--</t>
        </is>
      </c>
      <c r="O121" s="38" t="inlineStr">
        <is>
          <t>JJH</t>
        </is>
      </c>
      <c r="Q121" s="62">
        <f>IF(C121="Yes", 1, IF(C121="no", 0, IF(C121= "tardy", SUM(J121/I121),"")))</f>
        <v/>
      </c>
      <c r="R121" s="62">
        <f>LEFT(Train_Log[[#This Row],[COURSE NAME:]],FIND(" - ", Train_Log[[#This Row],[COURSE NAME:]]) -1)</f>
        <v/>
      </c>
      <c r="S121" s="62">
        <f>MID(Train_Log[[#This Row],[COURSE NAME:]],FIND(" - ", Train_Log[[#This Row],[COURSE NAME:]]), 13)</f>
        <v/>
      </c>
      <c r="T121" s="62">
        <f>MID(E121, FIND(" - ", E121) + 3, LEN(E121)) &amp; "_" &amp; TEXT(F121, "yyyymmdd") &amp; "_" &amp; TEXT(H121, "yyyymmdd")</f>
        <v/>
      </c>
    </row>
    <row r="122">
      <c r="B122" s="38" t="inlineStr">
        <is>
          <t>EE32</t>
        </is>
      </c>
      <c r="C122" s="38" t="inlineStr">
        <is>
          <t>No</t>
        </is>
      </c>
      <c r="D122" s="39" t="inlineStr">
        <is>
          <t>4027257</t>
        </is>
      </c>
      <c r="E122" s="38" t="inlineStr">
        <is>
          <t>OPTIONAL RETIREMENTS - MAILBUILD</t>
        </is>
      </c>
      <c r="F122" s="44" t="n">
        <v>45676</v>
      </c>
      <c r="G122" s="40" t="n">
        <v>45680</v>
      </c>
      <c r="H122" s="44" t="n">
        <v>45680</v>
      </c>
      <c r="I122" s="41" t="n">
        <v>3</v>
      </c>
      <c r="J122" s="42" t="n">
        <v>3</v>
      </c>
      <c r="K122" s="38" t="inlineStr">
        <is>
          <t>TR 10</t>
        </is>
      </c>
      <c r="L122" s="38" t="inlineStr">
        <is>
          <t>TR 7</t>
        </is>
      </c>
      <c r="M122" s="38" t="inlineStr">
        <is>
          <t>--</t>
        </is>
      </c>
      <c r="N122" s="38" t="inlineStr">
        <is>
          <t>--</t>
        </is>
      </c>
      <c r="O122" s="38" t="inlineStr">
        <is>
          <t>JJH</t>
        </is>
      </c>
      <c r="Q122" s="62">
        <f>IF(C122="Yes", 1, IF(C122="no", 0, IF(C122= "tardy", SUM(J122/I122),"")))</f>
        <v/>
      </c>
      <c r="R122" s="62">
        <f>LEFT(Train_Log[[#This Row],[COURSE NAME:]],FIND(" - ", Train_Log[[#This Row],[COURSE NAME:]]) -1)</f>
        <v/>
      </c>
      <c r="S122" s="62">
        <f>MID(Train_Log[[#This Row],[COURSE NAME:]],FIND(" - ", Train_Log[[#This Row],[COURSE NAME:]]), 13)</f>
        <v/>
      </c>
      <c r="T122" s="62">
        <f>MID(E122, FIND(" - ", E122) + 3, LEN(E122)) &amp; "_" &amp; TEXT(F122, "yyyymmdd") &amp; "_" &amp; TEXT(H122, "yyyymmdd")</f>
        <v/>
      </c>
    </row>
    <row r="123">
      <c r="B123" s="38" t="inlineStr">
        <is>
          <t>EE164</t>
        </is>
      </c>
      <c r="C123" s="38" t="inlineStr">
        <is>
          <t>No</t>
        </is>
      </c>
      <c r="D123" s="39" t="inlineStr">
        <is>
          <t>5104733</t>
        </is>
      </c>
      <c r="E123" s="38" t="inlineStr">
        <is>
          <t>LWOP - HCES SUPERUSER TRAINING</t>
        </is>
      </c>
      <c r="F123" s="44" t="n">
        <v>45409</v>
      </c>
      <c r="G123" s="40" t="n">
        <v>45413</v>
      </c>
      <c r="H123" s="44" t="n">
        <v>45413</v>
      </c>
      <c r="I123" s="41" t="n">
        <v>2</v>
      </c>
      <c r="J123" s="42" t="n">
        <v>2</v>
      </c>
      <c r="K123" s="38" t="inlineStr">
        <is>
          <t>TR 10</t>
        </is>
      </c>
      <c r="L123" s="38" t="inlineStr">
        <is>
          <t>TR 9</t>
        </is>
      </c>
      <c r="M123" s="38" t="inlineStr">
        <is>
          <t>--</t>
        </is>
      </c>
      <c r="N123" s="38" t="inlineStr">
        <is>
          <t>--</t>
        </is>
      </c>
      <c r="O123" s="38" t="inlineStr">
        <is>
          <t>JJH</t>
        </is>
      </c>
      <c r="Q123" s="62">
        <f>IF(C123="Yes", 1, IF(C123="no", 0, IF(C123= "tardy", SUM(J123/I123),"")))</f>
        <v/>
      </c>
      <c r="R123" s="62">
        <f>LEFT(Train_Log[[#This Row],[COURSE NAME:]],FIND(" - ", Train_Log[[#This Row],[COURSE NAME:]]) -1)</f>
        <v/>
      </c>
      <c r="S123" s="62">
        <f>MID(Train_Log[[#This Row],[COURSE NAME:]],FIND(" - ", Train_Log[[#This Row],[COURSE NAME:]]), 13)</f>
        <v/>
      </c>
      <c r="T123" s="62">
        <f>MID(E123, FIND(" - ", E123) + 3, LEN(E123)) &amp; "_" &amp; TEXT(F123, "yyyymmdd") &amp; "_" &amp; TEXT(H123, "yyyymmdd")</f>
        <v/>
      </c>
    </row>
    <row r="124">
      <c r="B124" s="38" t="inlineStr">
        <is>
          <t>EE84</t>
        </is>
      </c>
      <c r="C124" s="38" t="inlineStr">
        <is>
          <t>No</t>
        </is>
      </c>
      <c r="D124" s="39" t="inlineStr">
        <is>
          <t>6718057</t>
        </is>
      </c>
      <c r="E124" s="38" t="inlineStr">
        <is>
          <t>SUPPORT - TRAINING - PTSP TRAINING</t>
        </is>
      </c>
      <c r="F124" s="44" t="n">
        <v>45363</v>
      </c>
      <c r="G124" s="40" t="n">
        <v>45367</v>
      </c>
      <c r="H124" s="44" t="n">
        <v>45367</v>
      </c>
      <c r="I124" s="41" t="n">
        <v>3</v>
      </c>
      <c r="J124" s="42" t="n">
        <v>3</v>
      </c>
      <c r="K124" s="38" t="inlineStr">
        <is>
          <t>TR 7</t>
        </is>
      </c>
      <c r="L124" s="38" t="inlineStr">
        <is>
          <t>TR 2</t>
        </is>
      </c>
      <c r="M124" s="38" t="inlineStr">
        <is>
          <t>--</t>
        </is>
      </c>
      <c r="N124" s="38" t="inlineStr">
        <is>
          <t>--</t>
        </is>
      </c>
      <c r="O124" s="38" t="inlineStr">
        <is>
          <t>JJH</t>
        </is>
      </c>
      <c r="Q124" s="62">
        <f>IF(C124="Yes", 1, IF(C124="no", 0, IF(C124= "tardy", SUM(J124/I124),"")))</f>
        <v/>
      </c>
      <c r="R124" s="62">
        <f>LEFT(Train_Log[[#This Row],[COURSE NAME:]],FIND(" - ", Train_Log[[#This Row],[COURSE NAME:]]) -1)</f>
        <v/>
      </c>
      <c r="S124" s="62">
        <f>MID(Train_Log[[#This Row],[COURSE NAME:]],FIND(" - ", Train_Log[[#This Row],[COURSE NAME:]]), 13)</f>
        <v/>
      </c>
      <c r="T124" s="62">
        <f>MID(E124, FIND(" - ", E124) + 3, LEN(E124)) &amp; "_" &amp; TEXT(F124, "yyyymmdd") &amp; "_" &amp; TEXT(H124, "yyyymmdd")</f>
        <v/>
      </c>
    </row>
    <row r="125">
      <c r="B125" s="38" t="inlineStr">
        <is>
          <t>EE36</t>
        </is>
      </c>
      <c r="C125" s="38" t="inlineStr">
        <is>
          <t>No</t>
        </is>
      </c>
      <c r="D125" t="inlineStr">
        <is>
          <t>5427114</t>
        </is>
      </c>
      <c r="E125" s="38" t="inlineStr">
        <is>
          <t>PHONES - BENEFITS</t>
        </is>
      </c>
      <c r="F125" s="40" t="n">
        <v>45337</v>
      </c>
      <c r="G125" s="40" t="n">
        <v>45337</v>
      </c>
      <c r="H125" s="40" t="n">
        <v>45337</v>
      </c>
      <c r="I125" s="41" t="n">
        <v>2</v>
      </c>
      <c r="J125" s="41" t="n">
        <v>2</v>
      </c>
      <c r="K125" s="38" t="inlineStr">
        <is>
          <t>TR 2</t>
        </is>
      </c>
      <c r="L125" s="38" t="inlineStr">
        <is>
          <t>TR 4</t>
        </is>
      </c>
      <c r="M125" s="38" t="inlineStr">
        <is>
          <t>--</t>
        </is>
      </c>
      <c r="N125" s="38" t="inlineStr">
        <is>
          <t>--</t>
        </is>
      </c>
      <c r="O125" s="38" t="inlineStr">
        <is>
          <t>JJH</t>
        </is>
      </c>
      <c r="Q125" s="62">
        <f>IF(C125="Yes", 1, IF(C125="no", 0, IF(C125= "tardy", SUM(J125/I125),"")))</f>
        <v/>
      </c>
      <c r="R125" s="62">
        <f>LEFT(Train_Log[[#This Row],[COURSE NAME:]],FIND(" - ", Train_Log[[#This Row],[COURSE NAME:]]) -1)</f>
        <v/>
      </c>
      <c r="S125" s="62">
        <f>MID(Train_Log[[#This Row],[COURSE NAME:]],FIND(" - ", Train_Log[[#This Row],[COURSE NAME:]]), 13)</f>
        <v/>
      </c>
      <c r="T125" s="62">
        <f>MID(E125, FIND(" - ", E125) + 3, LEN(E125)) &amp; "_" &amp; TEXT(F125, "yyyymmdd") &amp; "_" &amp; TEXT(H125, "yyyymmdd")</f>
        <v/>
      </c>
    </row>
    <row r="126">
      <c r="B126" s="38" t="inlineStr">
        <is>
          <t>EE138</t>
        </is>
      </c>
      <c r="C126" s="38" t="inlineStr">
        <is>
          <t>No</t>
        </is>
      </c>
      <c r="D126" t="inlineStr">
        <is>
          <t>4671013</t>
        </is>
      </c>
      <c r="E126" s="38" t="inlineStr">
        <is>
          <t>PHONES - LWOP</t>
        </is>
      </c>
      <c r="F126" s="40" t="n">
        <v>45696</v>
      </c>
      <c r="G126" s="40" t="n">
        <v>45697</v>
      </c>
      <c r="H126" s="40" t="n">
        <v>45697</v>
      </c>
      <c r="I126" s="41" t="n">
        <v>8</v>
      </c>
      <c r="J126" s="41" t="n">
        <v>8</v>
      </c>
      <c r="K126" s="38" t="inlineStr">
        <is>
          <t>TR 7</t>
        </is>
      </c>
      <c r="L126" s="38" t="inlineStr">
        <is>
          <t>TR 10</t>
        </is>
      </c>
      <c r="M126" s="38" t="inlineStr">
        <is>
          <t>--</t>
        </is>
      </c>
      <c r="N126" s="38" t="inlineStr">
        <is>
          <t>--</t>
        </is>
      </c>
      <c r="O126" s="38" t="inlineStr">
        <is>
          <t>JJH</t>
        </is>
      </c>
      <c r="P126" s="50" t="n"/>
      <c r="Q126" s="62">
        <f>IF(C126="Yes", 1, IF(C126="no", 0, IF(C126= "tardy", SUM(J126/I126),"")))</f>
        <v/>
      </c>
      <c r="R126" s="62">
        <f>LEFT(Train_Log[[#This Row],[COURSE NAME:]],FIND(" - ", Train_Log[[#This Row],[COURSE NAME:]]) -1)</f>
        <v/>
      </c>
      <c r="S126" s="62">
        <f>MID(Train_Log[[#This Row],[COURSE NAME:]],FIND(" - ", Train_Log[[#This Row],[COURSE NAME:]]), 13)</f>
        <v/>
      </c>
      <c r="T126" s="62">
        <f>MID(E126, FIND(" - ", E126) + 3, LEN(E126)) &amp; "_" &amp; TEXT(F126, "yyyymmdd") &amp; "_" &amp; TEXT(H126, "yyyymmdd")</f>
        <v/>
      </c>
    </row>
    <row r="127">
      <c r="B127" s="38" t="inlineStr">
        <is>
          <t>EE187</t>
        </is>
      </c>
      <c r="C127" s="38" t="inlineStr">
        <is>
          <t>No</t>
        </is>
      </c>
      <c r="D127" t="inlineStr">
        <is>
          <t>5289807</t>
        </is>
      </c>
      <c r="E127" s="38" t="inlineStr">
        <is>
          <t>PHONES - LWOP</t>
        </is>
      </c>
      <c r="F127" s="40" t="n">
        <v>45723</v>
      </c>
      <c r="G127" s="40" t="n">
        <v>45727</v>
      </c>
      <c r="H127" s="40" t="n">
        <v>45727</v>
      </c>
      <c r="I127" s="41" t="n">
        <v>4</v>
      </c>
      <c r="J127" s="41" t="n">
        <v>4</v>
      </c>
      <c r="K127" s="38" t="inlineStr">
        <is>
          <t>TR 10</t>
        </is>
      </c>
      <c r="L127" s="38" t="inlineStr">
        <is>
          <t>TR 7</t>
        </is>
      </c>
      <c r="M127" s="38" t="inlineStr">
        <is>
          <t>--</t>
        </is>
      </c>
      <c r="N127" s="38" t="inlineStr">
        <is>
          <t>--</t>
        </is>
      </c>
      <c r="O127" s="38" t="inlineStr">
        <is>
          <t>JJH</t>
        </is>
      </c>
      <c r="P127" s="50" t="n"/>
      <c r="Q127" s="62">
        <f>IF(C127="Yes", 1, IF(C127="no", 0, IF(C127= "tardy", SUM(J127/I127),"")))</f>
        <v/>
      </c>
      <c r="R127" s="62">
        <f>LEFT(Train_Log[[#This Row],[COURSE NAME:]],FIND(" - ", Train_Log[[#This Row],[COURSE NAME:]]) -1)</f>
        <v/>
      </c>
      <c r="S127" s="62">
        <f>MID(Train_Log[[#This Row],[COURSE NAME:]],FIND(" - ", Train_Log[[#This Row],[COURSE NAME:]]), 13)</f>
        <v/>
      </c>
      <c r="T127" s="62">
        <f>MID(E127, FIND(" - ", E127) + 3, LEN(E127)) &amp; "_" &amp; TEXT(F127, "yyyymmdd") &amp; "_" &amp; TEXT(H127, "yyyymmdd")</f>
        <v/>
      </c>
    </row>
    <row r="128">
      <c r="B128" s="38" t="inlineStr">
        <is>
          <t>EE72</t>
        </is>
      </c>
      <c r="C128" s="38" t="inlineStr">
        <is>
          <t>No</t>
        </is>
      </c>
      <c r="D128" s="39" t="inlineStr">
        <is>
          <t>5165905</t>
        </is>
      </c>
      <c r="E128" s="38" t="inlineStr">
        <is>
          <t>PHONES - BENEFITS</t>
        </is>
      </c>
      <c r="F128" s="40" t="n">
        <v>45678</v>
      </c>
      <c r="G128" s="40" t="n">
        <v>45678</v>
      </c>
      <c r="H128" s="40" t="n">
        <v>45678</v>
      </c>
      <c r="I128" s="41" t="n">
        <v>2</v>
      </c>
      <c r="J128" s="41" t="n">
        <v>2</v>
      </c>
      <c r="K128" s="38" t="inlineStr">
        <is>
          <t>TR 6</t>
        </is>
      </c>
      <c r="L128" s="38" t="inlineStr">
        <is>
          <t>TR 2</t>
        </is>
      </c>
      <c r="M128" s="38" t="inlineStr">
        <is>
          <t>--</t>
        </is>
      </c>
      <c r="N128" s="38" t="inlineStr">
        <is>
          <t>--</t>
        </is>
      </c>
      <c r="O128" s="38" t="inlineStr">
        <is>
          <t>JJH</t>
        </is>
      </c>
      <c r="P128" s="44" t="n"/>
      <c r="Q128" s="62">
        <f>IF(C128="Yes", 1, IF(C128="no", 0, IF(C128= "tardy", SUM(J128/I128),"")))</f>
        <v/>
      </c>
      <c r="R128" s="62">
        <f>LEFT(Train_Log[[#This Row],[COURSE NAME:]],FIND(" - ", Train_Log[[#This Row],[COURSE NAME:]]) -1)</f>
        <v/>
      </c>
      <c r="S128" s="62">
        <f>MID(Train_Log[[#This Row],[COURSE NAME:]],FIND(" - ", Train_Log[[#This Row],[COURSE NAME:]]), 13)</f>
        <v/>
      </c>
      <c r="T128" s="62">
        <f>MID(E128, FIND(" - ", E128) + 3, LEN(E128)) &amp; "_" &amp; TEXT(F128, "yyyymmdd") &amp; "_" &amp; TEXT(H128, "yyyymmdd")</f>
        <v/>
      </c>
    </row>
    <row r="129">
      <c r="B129" s="38" t="inlineStr">
        <is>
          <t>EE176</t>
        </is>
      </c>
      <c r="C129" s="38" t="inlineStr">
        <is>
          <t>No</t>
        </is>
      </c>
      <c r="D129" s="39" t="inlineStr">
        <is>
          <t>5568308</t>
        </is>
      </c>
      <c r="E129" s="38" t="inlineStr">
        <is>
          <t>LWOP - HCES SUPERUSER TRAINING</t>
        </is>
      </c>
      <c r="F129" s="40" t="n">
        <v>45666</v>
      </c>
      <c r="G129" s="40" t="n">
        <v>45666</v>
      </c>
      <c r="H129" s="40" t="n">
        <v>45666</v>
      </c>
      <c r="I129" s="41" t="n">
        <v>2</v>
      </c>
      <c r="J129" s="41" t="n">
        <v>2</v>
      </c>
      <c r="K129" s="38" t="inlineStr">
        <is>
          <t>TR 2</t>
        </is>
      </c>
      <c r="L129" s="38" t="inlineStr">
        <is>
          <t>TR 8</t>
        </is>
      </c>
      <c r="M129" s="38" t="inlineStr">
        <is>
          <t>--</t>
        </is>
      </c>
      <c r="N129" s="38" t="inlineStr">
        <is>
          <t>--</t>
        </is>
      </c>
      <c r="O129" s="38" t="inlineStr">
        <is>
          <t>JJH</t>
        </is>
      </c>
      <c r="P129" s="44" t="n"/>
      <c r="Q129" s="62">
        <f>IF(C129="Yes", 1, IF(C129="no", 0, IF(C129= "tardy", SUM(J129/I129),"")))</f>
        <v/>
      </c>
      <c r="R129" s="62">
        <f>LEFT(Train_Log[[#This Row],[COURSE NAME:]],FIND(" - ", Train_Log[[#This Row],[COURSE NAME:]]) -1)</f>
        <v/>
      </c>
      <c r="S129" s="62">
        <f>MID(Train_Log[[#This Row],[COURSE NAME:]],FIND(" - ", Train_Log[[#This Row],[COURSE NAME:]]), 13)</f>
        <v/>
      </c>
      <c r="T129" s="62">
        <f>MID(E129, FIND(" - ", E129) + 3, LEN(E129)) &amp; "_" &amp; TEXT(F129, "yyyymmdd") &amp; "_" &amp; TEXT(H129, "yyyymmdd")</f>
        <v/>
      </c>
    </row>
    <row r="130">
      <c r="B130" s="38" t="inlineStr">
        <is>
          <t>EE24</t>
        </is>
      </c>
      <c r="C130" s="38" t="inlineStr">
        <is>
          <t>No</t>
        </is>
      </c>
      <c r="D130" s="39" t="inlineStr">
        <is>
          <t>6725812</t>
        </is>
      </c>
      <c r="E130" s="38" t="inlineStr">
        <is>
          <t>SUPPORT - TRAINING - PTSP TRAINING</t>
        </is>
      </c>
      <c r="F130" s="40" t="n">
        <v>45320</v>
      </c>
      <c r="G130" s="40" t="n">
        <v>45320</v>
      </c>
      <c r="H130" s="40" t="n">
        <v>45320</v>
      </c>
      <c r="I130" s="41" t="n">
        <v>2</v>
      </c>
      <c r="J130" s="41" t="n">
        <v>2</v>
      </c>
      <c r="K130" s="38" t="inlineStr">
        <is>
          <t>TR 3</t>
        </is>
      </c>
      <c r="L130" s="38" t="inlineStr">
        <is>
          <t>TR 10</t>
        </is>
      </c>
      <c r="M130" s="38" t="inlineStr">
        <is>
          <t>--</t>
        </is>
      </c>
      <c r="N130" s="38" t="inlineStr">
        <is>
          <t>--</t>
        </is>
      </c>
      <c r="O130" s="38" t="inlineStr">
        <is>
          <t>JJH</t>
        </is>
      </c>
      <c r="P130" s="59" t="n"/>
      <c r="Q130" s="62">
        <f>IF(C130="Yes", 1, IF(C130="no", 0, IF(C130= "tardy", SUM(J130/I130),"")))</f>
        <v/>
      </c>
      <c r="R130" s="62">
        <f>LEFT(Train_Log[[#This Row],[COURSE NAME:]],FIND(" - ", Train_Log[[#This Row],[COURSE NAME:]]) -1)</f>
        <v/>
      </c>
      <c r="S130" s="62">
        <f>MID(Train_Log[[#This Row],[COURSE NAME:]],FIND(" - ", Train_Log[[#This Row],[COURSE NAME:]]), 13)</f>
        <v/>
      </c>
      <c r="T130" s="62">
        <f>MID(E130, FIND(" - ", E130) + 3, LEN(E130)) &amp; "_" &amp; TEXT(F130, "yyyymmdd") &amp; "_" &amp; TEXT(H130, "yyyymmdd")</f>
        <v/>
      </c>
    </row>
    <row r="131">
      <c r="B131" s="38" t="inlineStr">
        <is>
          <t>EE53</t>
        </is>
      </c>
      <c r="C131" s="38" t="inlineStr">
        <is>
          <t>No</t>
        </is>
      </c>
      <c r="D131" s="39" t="inlineStr">
        <is>
          <t>5587688</t>
        </is>
      </c>
      <c r="E131" s="38" t="inlineStr">
        <is>
          <t>PHONES - EMPLOYMENT VERIFICATION</t>
        </is>
      </c>
      <c r="F131" s="40" t="n">
        <v>45511</v>
      </c>
      <c r="G131" s="40" t="n">
        <v>45513</v>
      </c>
      <c r="H131" s="40" t="n">
        <v>45513</v>
      </c>
      <c r="I131" s="41" t="n">
        <v>2</v>
      </c>
      <c r="J131" s="41" t="n">
        <v>2</v>
      </c>
      <c r="K131" s="38" t="inlineStr">
        <is>
          <t>TR 6</t>
        </is>
      </c>
      <c r="L131" s="38" t="inlineStr">
        <is>
          <t>TR 3</t>
        </is>
      </c>
      <c r="M131" s="38" t="inlineStr">
        <is>
          <t>--</t>
        </is>
      </c>
      <c r="N131" s="38" t="inlineStr">
        <is>
          <t>--</t>
        </is>
      </c>
      <c r="O131" s="38" t="inlineStr">
        <is>
          <t>JJH</t>
        </is>
      </c>
      <c r="P131" s="59" t="n"/>
      <c r="Q131" s="62">
        <f>IF(C131="Yes", 1, IF(C131="no", 0, IF(C131= "tardy", SUM(J131/I131),"")))</f>
        <v/>
      </c>
      <c r="R131" s="62">
        <f>LEFT(Train_Log[[#This Row],[COURSE NAME:]],FIND(" - ", Train_Log[[#This Row],[COURSE NAME:]]) -1)</f>
        <v/>
      </c>
      <c r="S131" s="62">
        <f>MID(Train_Log[[#This Row],[COURSE NAME:]],FIND(" - ", Train_Log[[#This Row],[COURSE NAME:]]), 13)</f>
        <v/>
      </c>
      <c r="T131" s="62">
        <f>MID(E131, FIND(" - ", E131) + 3, LEN(E131)) &amp; "_" &amp; TEXT(F131, "yyyymmdd") &amp; "_" &amp; TEXT(H131, "yyyymmdd")</f>
        <v/>
      </c>
    </row>
    <row r="132">
      <c r="B132" s="38" t="inlineStr">
        <is>
          <t>EE153</t>
        </is>
      </c>
      <c r="C132" s="38" t="inlineStr">
        <is>
          <t>No</t>
        </is>
      </c>
      <c r="D132" s="39" t="inlineStr">
        <is>
          <t>6859300</t>
        </is>
      </c>
      <c r="E132" s="38" t="inlineStr">
        <is>
          <t>PHONES - BENEFITS</t>
        </is>
      </c>
      <c r="F132" s="40" t="n">
        <v>45582</v>
      </c>
      <c r="G132" s="40" t="n">
        <v>45582</v>
      </c>
      <c r="H132" s="40" t="n">
        <v>45582</v>
      </c>
      <c r="I132" s="41" t="n">
        <v>8</v>
      </c>
      <c r="J132" s="41" t="n">
        <v>8</v>
      </c>
      <c r="K132" s="38" t="inlineStr">
        <is>
          <t>TR 5</t>
        </is>
      </c>
      <c r="L132" s="38" t="inlineStr">
        <is>
          <t>TR 3</t>
        </is>
      </c>
      <c r="M132" s="38" t="inlineStr">
        <is>
          <t>--</t>
        </is>
      </c>
      <c r="N132" s="38" t="inlineStr">
        <is>
          <t>--</t>
        </is>
      </c>
      <c r="O132" s="38" t="inlineStr">
        <is>
          <t>JJH</t>
        </is>
      </c>
      <c r="P132" s="59" t="n"/>
      <c r="Q132" s="62">
        <f>IF(C132="Yes", 1, IF(C132="no", 0, IF(C132= "tardy", SUM(J132/I132),"")))</f>
        <v/>
      </c>
      <c r="R132" s="62">
        <f>LEFT(Train_Log[[#This Row],[COURSE NAME:]],FIND(" - ", Train_Log[[#This Row],[COURSE NAME:]]) -1)</f>
        <v/>
      </c>
      <c r="S132" s="62">
        <f>MID(Train_Log[[#This Row],[COURSE NAME:]],FIND(" - ", Train_Log[[#This Row],[COURSE NAME:]]), 13)</f>
        <v/>
      </c>
      <c r="T132" s="62">
        <f>MID(E132, FIND(" - ", E132) + 3, LEN(E132)) &amp; "_" &amp; TEXT(F132, "yyyymmdd") &amp; "_" &amp; TEXT(H132, "yyyymmdd")</f>
        <v/>
      </c>
    </row>
    <row r="133">
      <c r="B133" s="38" t="inlineStr">
        <is>
          <t>EE29</t>
        </is>
      </c>
      <c r="C133" s="38" t="inlineStr">
        <is>
          <t>No</t>
        </is>
      </c>
      <c r="D133" s="39" t="inlineStr">
        <is>
          <t>5884119</t>
        </is>
      </c>
      <c r="E133" s="38" t="inlineStr">
        <is>
          <t>PHONES - BENEFITS</t>
        </is>
      </c>
      <c r="F133" s="40" t="n">
        <v>45433</v>
      </c>
      <c r="G133" s="40" t="n">
        <v>45433</v>
      </c>
      <c r="H133" s="40" t="n">
        <v>45433</v>
      </c>
      <c r="I133" s="41" t="n">
        <v>2</v>
      </c>
      <c r="J133" s="41" t="n">
        <v>2</v>
      </c>
      <c r="K133" s="38" t="inlineStr">
        <is>
          <t>TR 10</t>
        </is>
      </c>
      <c r="L133" s="38" t="inlineStr">
        <is>
          <t>TR 6</t>
        </is>
      </c>
      <c r="M133" s="38" t="inlineStr">
        <is>
          <t>--</t>
        </is>
      </c>
      <c r="N133" s="38" t="inlineStr">
        <is>
          <t>--</t>
        </is>
      </c>
      <c r="O133" s="38" t="inlineStr">
        <is>
          <t>JJH</t>
        </is>
      </c>
      <c r="P133" s="59" t="n"/>
      <c r="Q133" s="62">
        <f>IF(C133="Yes", 1, IF(C133="no", 0, IF(C133= "tardy", SUM(J133/I133),"")))</f>
        <v/>
      </c>
      <c r="R133" s="62">
        <f>LEFT(Train_Log[[#This Row],[COURSE NAME:]],FIND(" - ", Train_Log[[#This Row],[COURSE NAME:]]) -1)</f>
        <v/>
      </c>
      <c r="S133" s="62">
        <f>MID(Train_Log[[#This Row],[COURSE NAME:]],FIND(" - ", Train_Log[[#This Row],[COURSE NAME:]]), 13)</f>
        <v/>
      </c>
      <c r="T133" s="62">
        <f>MID(E133, FIND(" - ", E133) + 3, LEN(E133)) &amp; "_" &amp; TEXT(F133, "yyyymmdd") &amp; "_" &amp; TEXT(H133, "yyyymmdd")</f>
        <v/>
      </c>
    </row>
    <row r="134">
      <c r="B134" s="38" t="inlineStr">
        <is>
          <t>EE5</t>
        </is>
      </c>
      <c r="C134" s="38" t="inlineStr">
        <is>
          <t>No</t>
        </is>
      </c>
      <c r="D134" s="39" t="inlineStr">
        <is>
          <t>5027150</t>
        </is>
      </c>
      <c r="E134" s="38" t="inlineStr">
        <is>
          <t>PHONES - LWOP</t>
        </is>
      </c>
      <c r="F134" s="44" t="n">
        <v>45570</v>
      </c>
      <c r="G134" s="40" t="n">
        <v>45570</v>
      </c>
      <c r="H134" s="44" t="n">
        <v>45570</v>
      </c>
      <c r="I134" s="41" t="n">
        <v>4</v>
      </c>
      <c r="J134" s="42" t="n">
        <v>4</v>
      </c>
      <c r="K134" s="38" t="inlineStr">
        <is>
          <t>TR 9</t>
        </is>
      </c>
      <c r="L134" s="38" t="inlineStr">
        <is>
          <t>TR 2</t>
        </is>
      </c>
      <c r="M134" s="38" t="inlineStr">
        <is>
          <t>--</t>
        </is>
      </c>
      <c r="N134" s="38" t="inlineStr">
        <is>
          <t>--</t>
        </is>
      </c>
      <c r="O134" s="38" t="inlineStr">
        <is>
          <t>JJH</t>
        </is>
      </c>
      <c r="Q134" s="62">
        <f>IF(C134="Yes", 1, IF(C134="no", 0, IF(C134= "tardy", SUM(J134/I134),"")))</f>
        <v/>
      </c>
      <c r="R134" s="62">
        <f>LEFT(Train_Log[[#This Row],[COURSE NAME:]],FIND(" - ", Train_Log[[#This Row],[COURSE NAME:]]) -1)</f>
        <v/>
      </c>
      <c r="S134" s="62">
        <f>MID(Train_Log[[#This Row],[COURSE NAME:]],FIND(" - ", Train_Log[[#This Row],[COURSE NAME:]]), 13)</f>
        <v/>
      </c>
      <c r="T134" s="62">
        <f>MID(E134, FIND(" - ", E134) + 3, LEN(E134)) &amp; "_" &amp; TEXT(F134, "yyyymmdd") &amp; "_" &amp; TEXT(H134, "yyyymmdd")</f>
        <v/>
      </c>
    </row>
    <row r="135">
      <c r="B135" s="38" t="inlineStr">
        <is>
          <t>EE17</t>
        </is>
      </c>
      <c r="C135" s="38" t="inlineStr">
        <is>
          <t>No</t>
        </is>
      </c>
      <c r="D135" s="39" t="inlineStr">
        <is>
          <t>4917034</t>
        </is>
      </c>
      <c r="E135" s="38" t="inlineStr">
        <is>
          <t>OPTIONAL RETIREMENTS - MAILBUILD</t>
        </is>
      </c>
      <c r="F135" s="44" t="n">
        <v>45758</v>
      </c>
      <c r="G135" s="40" t="n">
        <v>45758</v>
      </c>
      <c r="H135" s="44" t="n">
        <v>45758</v>
      </c>
      <c r="I135" s="41" t="n">
        <v>2</v>
      </c>
      <c r="J135" s="42" t="n">
        <v>2</v>
      </c>
      <c r="K135" s="38" t="inlineStr">
        <is>
          <t>TR 8</t>
        </is>
      </c>
      <c r="L135" s="38" t="inlineStr">
        <is>
          <t>TR 9</t>
        </is>
      </c>
      <c r="M135" s="38" t="inlineStr">
        <is>
          <t>--</t>
        </is>
      </c>
      <c r="N135" s="38" t="inlineStr">
        <is>
          <t>--</t>
        </is>
      </c>
      <c r="O135" s="38" t="inlineStr">
        <is>
          <t>JJH</t>
        </is>
      </c>
      <c r="Q135" s="62">
        <f>IF(C135="Yes", 1, IF(C135="no", 0, IF(C135= "tardy", SUM(J135/I135),"")))</f>
        <v/>
      </c>
      <c r="R135" s="62">
        <f>LEFT(Train_Log[[#This Row],[COURSE NAME:]],FIND(" - ", Train_Log[[#This Row],[COURSE NAME:]]) -1)</f>
        <v/>
      </c>
      <c r="S135" s="62">
        <f>MID(Train_Log[[#This Row],[COURSE NAME:]],FIND(" - ", Train_Log[[#This Row],[COURSE NAME:]]), 13)</f>
        <v/>
      </c>
      <c r="T135" s="62">
        <f>MID(E135, FIND(" - ", E135) + 3, LEN(E135)) &amp; "_" &amp; TEXT(F135, "yyyymmdd") &amp; "_" &amp; TEXT(H135, "yyyymmdd")</f>
        <v/>
      </c>
    </row>
    <row r="136">
      <c r="B136" s="38" t="inlineStr">
        <is>
          <t>EE57</t>
        </is>
      </c>
      <c r="C136" s="38" t="inlineStr">
        <is>
          <t>No</t>
        </is>
      </c>
      <c r="D136" s="39" t="inlineStr">
        <is>
          <t>6636706</t>
        </is>
      </c>
      <c r="E136" s="38" t="inlineStr">
        <is>
          <t>PHONES - BENEFITS</t>
        </is>
      </c>
      <c r="F136" s="44" t="n">
        <v>45607</v>
      </c>
      <c r="G136" s="40" t="n">
        <v>45608</v>
      </c>
      <c r="H136" s="44" t="n">
        <v>45608</v>
      </c>
      <c r="I136" s="41" t="n">
        <v>2</v>
      </c>
      <c r="J136" s="42" t="n">
        <v>2</v>
      </c>
      <c r="K136" s="38" t="inlineStr">
        <is>
          <t>TR 1</t>
        </is>
      </c>
      <c r="L136" s="38" t="inlineStr">
        <is>
          <t>TR 8</t>
        </is>
      </c>
      <c r="M136" s="38" t="inlineStr">
        <is>
          <t>--</t>
        </is>
      </c>
      <c r="N136" s="38" t="inlineStr">
        <is>
          <t>--</t>
        </is>
      </c>
      <c r="O136" s="38" t="inlineStr">
        <is>
          <t>JJH</t>
        </is>
      </c>
      <c r="Q136" s="62">
        <f>IF(C136="Yes", 1, IF(C136="no", 0, IF(C136= "tardy", SUM(J136/I136),"")))</f>
        <v/>
      </c>
      <c r="R136" s="62">
        <f>LEFT(Train_Log[[#This Row],[COURSE NAME:]],FIND(" - ", Train_Log[[#This Row],[COURSE NAME:]]) -1)</f>
        <v/>
      </c>
      <c r="S136" s="62">
        <f>MID(Train_Log[[#This Row],[COURSE NAME:]],FIND(" - ", Train_Log[[#This Row],[COURSE NAME:]]), 13)</f>
        <v/>
      </c>
      <c r="T136" s="62">
        <f>MID(E136, FIND(" - ", E136) + 3, LEN(E136)) &amp; "_" &amp; TEXT(F136, "yyyymmdd") &amp; "_" &amp; TEXT(H136, "yyyymmdd")</f>
        <v/>
      </c>
    </row>
    <row r="137">
      <c r="B137" s="38" t="inlineStr">
        <is>
          <t>EE103</t>
        </is>
      </c>
      <c r="C137" s="38" t="inlineStr">
        <is>
          <t>No</t>
        </is>
      </c>
      <c r="D137" s="39" t="inlineStr">
        <is>
          <t>4134638</t>
        </is>
      </c>
      <c r="E137" s="38" t="inlineStr">
        <is>
          <t>LWOP - HCES SU FACILITATION TRAINING</t>
        </is>
      </c>
      <c r="F137" s="44" t="n">
        <v>45409</v>
      </c>
      <c r="G137" s="40" t="n">
        <v>45410</v>
      </c>
      <c r="H137" s="44" t="n">
        <v>45410</v>
      </c>
      <c r="I137" s="41" t="n">
        <v>4</v>
      </c>
      <c r="J137" s="42" t="n">
        <v>4</v>
      </c>
      <c r="K137" s="38" t="inlineStr">
        <is>
          <t>TR 2</t>
        </is>
      </c>
      <c r="L137" s="38" t="inlineStr">
        <is>
          <t>TR 2</t>
        </is>
      </c>
      <c r="M137" s="38" t="inlineStr">
        <is>
          <t>--</t>
        </is>
      </c>
      <c r="N137" s="38" t="inlineStr">
        <is>
          <t>--</t>
        </is>
      </c>
      <c r="O137" s="38" t="inlineStr">
        <is>
          <t>JJH</t>
        </is>
      </c>
      <c r="Q137" s="62">
        <f>IF(C137="Yes", 1, IF(C137="no", 0, IF(C137= "tardy", SUM(J137/I137),"")))</f>
        <v/>
      </c>
      <c r="R137" s="62">
        <f>LEFT(Train_Log[[#This Row],[COURSE NAME:]],FIND(" - ", Train_Log[[#This Row],[COURSE NAME:]]) -1)</f>
        <v/>
      </c>
      <c r="S137" s="62">
        <f>MID(Train_Log[[#This Row],[COURSE NAME:]],FIND(" - ", Train_Log[[#This Row],[COURSE NAME:]]), 13)</f>
        <v/>
      </c>
      <c r="T137" s="62">
        <f>MID(E137, FIND(" - ", E137) + 3, LEN(E137)) &amp; "_" &amp; TEXT(F137, "yyyymmdd") &amp; "_" &amp; TEXT(H137, "yyyymmdd")</f>
        <v/>
      </c>
    </row>
    <row r="138">
      <c r="B138" s="38" t="inlineStr">
        <is>
          <t>EE83</t>
        </is>
      </c>
      <c r="C138" s="38" t="inlineStr">
        <is>
          <t>No</t>
        </is>
      </c>
      <c r="D138" s="39" t="inlineStr">
        <is>
          <t>6867006</t>
        </is>
      </c>
      <c r="E138" s="38" t="inlineStr">
        <is>
          <t>PHONES - LWOP</t>
        </is>
      </c>
      <c r="F138" s="44" t="n">
        <v>45366</v>
      </c>
      <c r="G138" s="40" t="n">
        <v>45366</v>
      </c>
      <c r="H138" s="44" t="n">
        <v>45366</v>
      </c>
      <c r="I138" s="41" t="n">
        <v>8</v>
      </c>
      <c r="J138" s="42" t="n">
        <v>8</v>
      </c>
      <c r="K138" s="38" t="inlineStr">
        <is>
          <t>TR 9</t>
        </is>
      </c>
      <c r="L138" s="38" t="inlineStr">
        <is>
          <t>TR 6</t>
        </is>
      </c>
      <c r="M138" s="38" t="inlineStr">
        <is>
          <t>--</t>
        </is>
      </c>
      <c r="N138" s="38" t="inlineStr">
        <is>
          <t>--</t>
        </is>
      </c>
      <c r="O138" s="38" t="inlineStr">
        <is>
          <t>JJH</t>
        </is>
      </c>
      <c r="Q138" s="62">
        <f>IF(C138="Yes", 1, IF(C138="no", 0, IF(C138= "tardy", SUM(J138/I138),"")))</f>
        <v/>
      </c>
      <c r="R138" s="62">
        <f>LEFT(Train_Log[[#This Row],[COURSE NAME:]],FIND(" - ", Train_Log[[#This Row],[COURSE NAME:]]) -1)</f>
        <v/>
      </c>
      <c r="S138" s="62">
        <f>MID(Train_Log[[#This Row],[COURSE NAME:]],FIND(" - ", Train_Log[[#This Row],[COURSE NAME:]]), 13)</f>
        <v/>
      </c>
      <c r="T138" s="62">
        <f>MID(E138, FIND(" - ", E138) + 3, LEN(E138)) &amp; "_" &amp; TEXT(F138, "yyyymmdd") &amp; "_" &amp; TEXT(H138, "yyyymmdd")</f>
        <v/>
      </c>
    </row>
    <row r="139">
      <c r="B139" s="38" t="inlineStr">
        <is>
          <t>EE98</t>
        </is>
      </c>
      <c r="C139" s="38" t="inlineStr">
        <is>
          <t>No</t>
        </is>
      </c>
      <c r="D139" s="39" t="inlineStr">
        <is>
          <t>4921132</t>
        </is>
      </c>
      <c r="E139" s="38" t="inlineStr">
        <is>
          <t>RTR - EFORM SEPARATIONS TRAINING</t>
        </is>
      </c>
      <c r="F139" s="44" t="n">
        <v>45763</v>
      </c>
      <c r="G139" s="40" t="n">
        <v>45765</v>
      </c>
      <c r="H139" s="44" t="n">
        <v>45765</v>
      </c>
      <c r="I139" s="41" t="n">
        <v>2</v>
      </c>
      <c r="J139" s="42" t="n">
        <v>2</v>
      </c>
      <c r="K139" s="38" t="inlineStr">
        <is>
          <t>TR 2</t>
        </is>
      </c>
      <c r="L139" s="38" t="inlineStr">
        <is>
          <t>--</t>
        </is>
      </c>
      <c r="M139" s="38" t="inlineStr">
        <is>
          <t>--</t>
        </is>
      </c>
      <c r="N139" s="38" t="inlineStr">
        <is>
          <t>--</t>
        </is>
      </c>
      <c r="O139" s="38" t="inlineStr">
        <is>
          <t>JJH</t>
        </is>
      </c>
      <c r="Q139" s="62">
        <f>IF(C139="Yes", 1, IF(C139="no", 0, IF(C139= "tardy", SUM(J139/I139),"")))</f>
        <v/>
      </c>
      <c r="R139" s="62">
        <f>LEFT(Train_Log[[#This Row],[COURSE NAME:]],FIND(" - ", Train_Log[[#This Row],[COURSE NAME:]]) -1)</f>
        <v/>
      </c>
      <c r="S139" s="62">
        <f>MID(Train_Log[[#This Row],[COURSE NAME:]],FIND(" - ", Train_Log[[#This Row],[COURSE NAME:]]), 13)</f>
        <v/>
      </c>
      <c r="T139" s="62">
        <f>MID(E139, FIND(" - ", E139) + 3, LEN(E139)) &amp; "_" &amp; TEXT(F139, "yyyymmdd") &amp; "_" &amp; TEXT(H139, "yyyymmdd")</f>
        <v/>
      </c>
    </row>
    <row r="140">
      <c r="B140" s="38" t="inlineStr">
        <is>
          <t>EE167</t>
        </is>
      </c>
      <c r="C140" s="38" t="inlineStr">
        <is>
          <t>No</t>
        </is>
      </c>
      <c r="D140" s="39" t="inlineStr">
        <is>
          <t>6129371</t>
        </is>
      </c>
      <c r="E140" s="38" t="inlineStr">
        <is>
          <t>SUPPORT - TRAINING - PTSP TRAINING</t>
        </is>
      </c>
      <c r="F140" s="44" t="n">
        <v>45739</v>
      </c>
      <c r="G140" s="40" t="n">
        <v>45740</v>
      </c>
      <c r="H140" s="44" t="n">
        <v>45740</v>
      </c>
      <c r="I140" s="41" t="n">
        <v>4</v>
      </c>
      <c r="J140" s="42" t="n">
        <v>4</v>
      </c>
      <c r="K140" s="38" t="inlineStr">
        <is>
          <t>TR 6</t>
        </is>
      </c>
      <c r="L140" s="38" t="inlineStr">
        <is>
          <t>TR 8</t>
        </is>
      </c>
      <c r="M140" s="38" t="inlineStr">
        <is>
          <t>--</t>
        </is>
      </c>
      <c r="N140" s="38" t="inlineStr">
        <is>
          <t>--</t>
        </is>
      </c>
      <c r="O140" s="38" t="inlineStr">
        <is>
          <t>JJH</t>
        </is>
      </c>
      <c r="Q140" s="62">
        <f>IF(C140="Yes", 1, IF(C140="no", 0, IF(C140= "tardy", SUM(J140/I140),"")))</f>
        <v/>
      </c>
      <c r="R140" s="62">
        <f>LEFT(Train_Log[[#This Row],[COURSE NAME:]],FIND(" - ", Train_Log[[#This Row],[COURSE NAME:]]) -1)</f>
        <v/>
      </c>
      <c r="S140" s="62">
        <f>MID(Train_Log[[#This Row],[COURSE NAME:]],FIND(" - ", Train_Log[[#This Row],[COURSE NAME:]]), 13)</f>
        <v/>
      </c>
      <c r="T140" s="62">
        <f>MID(E140, FIND(" - ", E140) + 3, LEN(E140)) &amp; "_" &amp; TEXT(F140, "yyyymmdd") &amp; "_" &amp; TEXT(H140, "yyyymmdd")</f>
        <v/>
      </c>
    </row>
    <row r="141">
      <c r="B141" s="38" t="inlineStr">
        <is>
          <t>EE103</t>
        </is>
      </c>
      <c r="C141" s="38" t="inlineStr">
        <is>
          <t>No</t>
        </is>
      </c>
      <c r="D141" s="39" t="inlineStr">
        <is>
          <t>4134638</t>
        </is>
      </c>
      <c r="E141" s="38" t="inlineStr">
        <is>
          <t>LWOP - HCES SU FACILITATION TRAINING</t>
        </is>
      </c>
      <c r="F141" s="44" t="n">
        <v>45396</v>
      </c>
      <c r="G141" s="40" t="n">
        <v>45396</v>
      </c>
      <c r="H141" s="44" t="n">
        <v>45396</v>
      </c>
      <c r="I141" s="41" t="n">
        <v>3</v>
      </c>
      <c r="J141" s="42" t="n">
        <v>3</v>
      </c>
      <c r="K141" s="38" t="inlineStr">
        <is>
          <t>TR 6</t>
        </is>
      </c>
      <c r="L141" s="38" t="inlineStr">
        <is>
          <t>TR 3</t>
        </is>
      </c>
      <c r="M141" s="38" t="inlineStr">
        <is>
          <t>--</t>
        </is>
      </c>
      <c r="N141" s="38" t="inlineStr">
        <is>
          <t>--</t>
        </is>
      </c>
      <c r="O141" s="38" t="inlineStr">
        <is>
          <t>JJH</t>
        </is>
      </c>
      <c r="Q141" s="62">
        <f>IF(C141="Yes", 1, IF(C141="no", 0, IF(C141= "tardy", SUM(J141/I141),"")))</f>
        <v/>
      </c>
      <c r="R141" s="62">
        <f>LEFT(Train_Log[[#This Row],[COURSE NAME:]],FIND(" - ", Train_Log[[#This Row],[COURSE NAME:]]) -1)</f>
        <v/>
      </c>
      <c r="S141" s="62">
        <f>MID(Train_Log[[#This Row],[COURSE NAME:]],FIND(" - ", Train_Log[[#This Row],[COURSE NAME:]]), 13)</f>
        <v/>
      </c>
      <c r="T141" s="62">
        <f>MID(E141, FIND(" - ", E141) + 3, LEN(E141)) &amp; "_" &amp; TEXT(F141, "yyyymmdd") &amp; "_" &amp; TEXT(H141, "yyyymmdd")</f>
        <v/>
      </c>
    </row>
    <row r="142">
      <c r="B142" s="38" t="inlineStr">
        <is>
          <t>EE176</t>
        </is>
      </c>
      <c r="C142" s="38" t="inlineStr">
        <is>
          <t>No</t>
        </is>
      </c>
      <c r="D142" s="39" t="inlineStr">
        <is>
          <t>5568308</t>
        </is>
      </c>
      <c r="E142" s="38" t="inlineStr">
        <is>
          <t>OPTIONAL RETIREMENTS - MAILBUILD</t>
        </is>
      </c>
      <c r="F142" s="44" t="n">
        <v>45367</v>
      </c>
      <c r="G142" s="40" t="n">
        <v>45367</v>
      </c>
      <c r="H142" s="44" t="n">
        <v>45367</v>
      </c>
      <c r="I142" s="41" t="n">
        <v>2</v>
      </c>
      <c r="J142" s="42" t="n">
        <v>2</v>
      </c>
      <c r="K142" s="38" t="inlineStr">
        <is>
          <t>TR 7</t>
        </is>
      </c>
      <c r="L142" s="38" t="inlineStr">
        <is>
          <t>TR 2</t>
        </is>
      </c>
      <c r="M142" s="38" t="inlineStr">
        <is>
          <t>--</t>
        </is>
      </c>
      <c r="N142" s="38" t="inlineStr">
        <is>
          <t>--</t>
        </is>
      </c>
      <c r="O142" s="38" t="inlineStr">
        <is>
          <t>JJH</t>
        </is>
      </c>
      <c r="Q142" s="62">
        <f>IF(C142="Yes", 1, IF(C142="no", 0, IF(C142= "tardy", SUM(J142/I142),"")))</f>
        <v/>
      </c>
      <c r="R142" s="62">
        <f>LEFT(Train_Log[[#This Row],[COURSE NAME:]],FIND(" - ", Train_Log[[#This Row],[COURSE NAME:]]) -1)</f>
        <v/>
      </c>
      <c r="S142" s="62">
        <f>MID(Train_Log[[#This Row],[COURSE NAME:]],FIND(" - ", Train_Log[[#This Row],[COURSE NAME:]]), 13)</f>
        <v/>
      </c>
      <c r="T142" s="62">
        <f>MID(E142, FIND(" - ", E142) + 3, LEN(E142)) &amp; "_" &amp; TEXT(F142, "yyyymmdd") &amp; "_" &amp; TEXT(H142, "yyyymmdd")</f>
        <v/>
      </c>
    </row>
    <row r="143">
      <c r="B143" s="38" t="inlineStr">
        <is>
          <t>EE190</t>
        </is>
      </c>
      <c r="C143" s="38" t="inlineStr">
        <is>
          <t>tardy</t>
        </is>
      </c>
      <c r="D143" s="39" t="inlineStr">
        <is>
          <t>5010288</t>
        </is>
      </c>
      <c r="E143" s="38" t="inlineStr">
        <is>
          <t>LWOP - HCES SUPERUSER TRAINING</t>
        </is>
      </c>
      <c r="F143" s="44" t="n">
        <v>45432</v>
      </c>
      <c r="G143" s="40" t="n">
        <v>45434</v>
      </c>
      <c r="H143" s="44" t="n">
        <v>45434</v>
      </c>
      <c r="I143" s="41" t="n">
        <v>8</v>
      </c>
      <c r="J143" s="43" t="n">
        <v>5.8</v>
      </c>
      <c r="K143" s="38" t="inlineStr">
        <is>
          <t>TR 2</t>
        </is>
      </c>
      <c r="L143" s="38" t="inlineStr">
        <is>
          <t>TR 7</t>
        </is>
      </c>
      <c r="M143" s="38" t="inlineStr">
        <is>
          <t>--</t>
        </is>
      </c>
      <c r="N143" s="38" t="inlineStr">
        <is>
          <t>--</t>
        </is>
      </c>
      <c r="O143" s="38" t="inlineStr">
        <is>
          <t>JJH</t>
        </is>
      </c>
      <c r="Q143" s="62">
        <f>IF(C143="Yes", 1, IF(C143="no", 0, IF(C143= "tardy", SUM(J143/I143),"")))</f>
        <v/>
      </c>
      <c r="R143" s="62">
        <f>LEFT(Train_Log[[#This Row],[COURSE NAME:]],FIND(" - ", Train_Log[[#This Row],[COURSE NAME:]]) -1)</f>
        <v/>
      </c>
      <c r="S143" s="62">
        <f>MID(Train_Log[[#This Row],[COURSE NAME:]],FIND(" - ", Train_Log[[#This Row],[COURSE NAME:]]), 13)</f>
        <v/>
      </c>
      <c r="T143" s="62">
        <f>MID(E143, FIND(" - ", E143) + 3, LEN(E143)) &amp; "_" &amp; TEXT(F143, "yyyymmdd") &amp; "_" &amp; TEXT(H143, "yyyymmdd")</f>
        <v/>
      </c>
    </row>
    <row r="144">
      <c r="B144" s="38" t="inlineStr">
        <is>
          <t>EE91</t>
        </is>
      </c>
      <c r="C144" s="38" t="inlineStr">
        <is>
          <t>No</t>
        </is>
      </c>
      <c r="D144" s="39" t="inlineStr">
        <is>
          <t>4685359</t>
        </is>
      </c>
      <c r="E144" s="38" t="inlineStr">
        <is>
          <t>LWOP - HCES SU FACILITATION TRAINING</t>
        </is>
      </c>
      <c r="F144" s="44" t="n">
        <v>45351</v>
      </c>
      <c r="G144" s="40" t="n">
        <v>45351</v>
      </c>
      <c r="H144" s="44" t="n">
        <v>45351</v>
      </c>
      <c r="I144" s="41" t="n">
        <v>3</v>
      </c>
      <c r="J144" s="42" t="n">
        <v>3</v>
      </c>
      <c r="K144" s="38" t="inlineStr">
        <is>
          <t>TR 2</t>
        </is>
      </c>
      <c r="L144" s="38" t="inlineStr">
        <is>
          <t>TR 10</t>
        </is>
      </c>
      <c r="M144" s="38" t="inlineStr">
        <is>
          <t>--</t>
        </is>
      </c>
      <c r="N144" s="38" t="inlineStr">
        <is>
          <t>--</t>
        </is>
      </c>
      <c r="O144" s="38" t="inlineStr">
        <is>
          <t>JJH</t>
        </is>
      </c>
      <c r="Q144" s="62">
        <f>IF(C144="Yes", 1, IF(C144="no", 0, IF(C144= "tardy", SUM(J144/I144),"")))</f>
        <v/>
      </c>
      <c r="R144" s="62">
        <f>LEFT(Train_Log[[#This Row],[COURSE NAME:]],FIND(" - ", Train_Log[[#This Row],[COURSE NAME:]]) -1)</f>
        <v/>
      </c>
      <c r="S144" s="62">
        <f>MID(Train_Log[[#This Row],[COURSE NAME:]],FIND(" - ", Train_Log[[#This Row],[COURSE NAME:]]), 13)</f>
        <v/>
      </c>
      <c r="T144" s="62">
        <f>MID(E144, FIND(" - ", E144) + 3, LEN(E144)) &amp; "_" &amp; TEXT(F144, "yyyymmdd") &amp; "_" &amp; TEXT(H144, "yyyymmdd")</f>
        <v/>
      </c>
    </row>
    <row r="145">
      <c r="B145" s="38" t="inlineStr">
        <is>
          <t>EE130</t>
        </is>
      </c>
      <c r="C145" s="38" t="inlineStr">
        <is>
          <t>No</t>
        </is>
      </c>
      <c r="D145" s="39" t="inlineStr">
        <is>
          <t>4580205</t>
        </is>
      </c>
      <c r="E145" s="38" t="inlineStr">
        <is>
          <t>SUPPORT - TRAINING - PTSP TRAINING</t>
        </is>
      </c>
      <c r="F145" s="44" t="n">
        <v>45457</v>
      </c>
      <c r="G145" s="40" t="n">
        <v>45461</v>
      </c>
      <c r="H145" s="44" t="n">
        <v>45461</v>
      </c>
      <c r="I145" s="41" t="n">
        <v>2</v>
      </c>
      <c r="J145" s="42" t="n">
        <v>2</v>
      </c>
      <c r="K145" s="38" t="inlineStr">
        <is>
          <t>TR 6</t>
        </is>
      </c>
      <c r="L145" s="38" t="inlineStr">
        <is>
          <t>TR 9</t>
        </is>
      </c>
      <c r="M145" s="38" t="inlineStr">
        <is>
          <t>--</t>
        </is>
      </c>
      <c r="N145" s="38" t="inlineStr">
        <is>
          <t>--</t>
        </is>
      </c>
      <c r="O145" s="38" t="inlineStr">
        <is>
          <t>JJH</t>
        </is>
      </c>
      <c r="Q145" s="62">
        <f>IF(C145="Yes", 1, IF(C145="no", 0, IF(C145= "tardy", SUM(J145/I145),"")))</f>
        <v/>
      </c>
      <c r="R145" s="62">
        <f>LEFT(Train_Log[[#This Row],[COURSE NAME:]],FIND(" - ", Train_Log[[#This Row],[COURSE NAME:]]) -1)</f>
        <v/>
      </c>
      <c r="S145" s="62">
        <f>MID(Train_Log[[#This Row],[COURSE NAME:]],FIND(" - ", Train_Log[[#This Row],[COURSE NAME:]]), 13)</f>
        <v/>
      </c>
      <c r="T145" s="62">
        <f>MID(E145, FIND(" - ", E145) + 3, LEN(E145)) &amp; "_" &amp; TEXT(F145, "yyyymmdd") &amp; "_" &amp; TEXT(H145, "yyyymmdd")</f>
        <v/>
      </c>
    </row>
    <row r="146">
      <c r="B146" s="38" t="inlineStr">
        <is>
          <t>EE95</t>
        </is>
      </c>
      <c r="C146" s="38" t="inlineStr">
        <is>
          <t>No</t>
        </is>
      </c>
      <c r="D146" t="inlineStr">
        <is>
          <t>6684353</t>
        </is>
      </c>
      <c r="E146" s="38" t="inlineStr">
        <is>
          <t>PHONES - EMPLOYMENT VERIFICATION</t>
        </is>
      </c>
      <c r="F146" s="40" t="n">
        <v>45584</v>
      </c>
      <c r="G146" s="40" t="n">
        <v>45586</v>
      </c>
      <c r="H146" s="40" t="n">
        <v>45586</v>
      </c>
      <c r="I146" s="41" t="n">
        <v>4</v>
      </c>
      <c r="J146" s="49" t="n">
        <v>4</v>
      </c>
      <c r="K146" s="38" t="inlineStr">
        <is>
          <t>TR 9</t>
        </is>
      </c>
      <c r="L146" s="38" t="inlineStr">
        <is>
          <t>TR 10</t>
        </is>
      </c>
      <c r="M146" s="38" t="inlineStr">
        <is>
          <t>--</t>
        </is>
      </c>
      <c r="N146" s="38" t="inlineStr">
        <is>
          <t>--</t>
        </is>
      </c>
      <c r="O146" s="38" t="inlineStr">
        <is>
          <t>JJH</t>
        </is>
      </c>
      <c r="Q146" s="62">
        <f>IF(C146="Yes", 1, IF(C146="no", 0, IF(C146= "tardy", SUM(J146/I146),"")))</f>
        <v/>
      </c>
      <c r="R146" s="62">
        <f>LEFT(Train_Log[[#This Row],[COURSE NAME:]],FIND(" - ", Train_Log[[#This Row],[COURSE NAME:]]) -1)</f>
        <v/>
      </c>
      <c r="S146" s="62">
        <f>MID(Train_Log[[#This Row],[COURSE NAME:]],FIND(" - ", Train_Log[[#This Row],[COURSE NAME:]]), 13)</f>
        <v/>
      </c>
      <c r="T146" s="62">
        <f>MID(E146, FIND(" - ", E146) + 3, LEN(E146)) &amp; "_" &amp; TEXT(F146, "yyyymmdd") &amp; "_" &amp; TEXT(H146, "yyyymmdd")</f>
        <v/>
      </c>
    </row>
    <row r="147">
      <c r="B147" s="38" t="inlineStr">
        <is>
          <t>EE158</t>
        </is>
      </c>
      <c r="C147" s="38" t="inlineStr">
        <is>
          <t>No</t>
        </is>
      </c>
      <c r="D147" t="inlineStr">
        <is>
          <t>4467883</t>
        </is>
      </c>
      <c r="E147" s="38" t="inlineStr">
        <is>
          <t>PHONES - BENEFITS</t>
        </is>
      </c>
      <c r="F147" s="40" t="n">
        <v>45572</v>
      </c>
      <c r="G147" s="40" t="n">
        <v>45572</v>
      </c>
      <c r="H147" s="40" t="n">
        <v>45572</v>
      </c>
      <c r="I147" s="41" t="n">
        <v>3</v>
      </c>
      <c r="J147" s="41" t="n">
        <v>3</v>
      </c>
      <c r="K147" s="38" t="inlineStr">
        <is>
          <t>TR 6</t>
        </is>
      </c>
      <c r="L147" s="38" t="inlineStr">
        <is>
          <t>TR 6</t>
        </is>
      </c>
      <c r="M147" s="38" t="inlineStr">
        <is>
          <t>--</t>
        </is>
      </c>
      <c r="N147" s="38" t="inlineStr">
        <is>
          <t>--</t>
        </is>
      </c>
      <c r="O147" s="38" t="inlineStr">
        <is>
          <t>JJH</t>
        </is>
      </c>
      <c r="P147" s="50" t="n"/>
      <c r="Q147" s="62">
        <f>IF(C147="Yes", 1, IF(C147="no", 0, IF(C147= "tardy", SUM(J147/I147),"")))</f>
        <v/>
      </c>
      <c r="R147" s="62">
        <f>LEFT(Train_Log[[#This Row],[COURSE NAME:]],FIND(" - ", Train_Log[[#This Row],[COURSE NAME:]]) -1)</f>
        <v/>
      </c>
      <c r="S147" s="62">
        <f>MID(Train_Log[[#This Row],[COURSE NAME:]],FIND(" - ", Train_Log[[#This Row],[COURSE NAME:]]), 13)</f>
        <v/>
      </c>
      <c r="T147" s="62">
        <f>MID(E147, FIND(" - ", E147) + 3, LEN(E147)) &amp; "_" &amp; TEXT(F147, "yyyymmdd") &amp; "_" &amp; TEXT(H147, "yyyymmdd")</f>
        <v/>
      </c>
    </row>
    <row r="148">
      <c r="B148" s="38" t="inlineStr">
        <is>
          <t>EE2</t>
        </is>
      </c>
      <c r="C148" s="38" t="inlineStr">
        <is>
          <t>No</t>
        </is>
      </c>
      <c r="D148" t="inlineStr">
        <is>
          <t>4466956</t>
        </is>
      </c>
      <c r="E148" s="38" t="inlineStr">
        <is>
          <t>PHONES - LWOP</t>
        </is>
      </c>
      <c r="F148" s="40" t="n">
        <v>45445</v>
      </c>
      <c r="G148" s="40" t="n">
        <v>45447</v>
      </c>
      <c r="H148" s="40" t="n">
        <v>45447</v>
      </c>
      <c r="I148" s="41" t="n">
        <v>2</v>
      </c>
      <c r="J148" s="41" t="n">
        <v>2</v>
      </c>
      <c r="K148" s="38" t="inlineStr">
        <is>
          <t>TR 3</t>
        </is>
      </c>
      <c r="L148" s="38" t="inlineStr">
        <is>
          <t>--</t>
        </is>
      </c>
      <c r="M148" s="38" t="inlineStr">
        <is>
          <t>--</t>
        </is>
      </c>
      <c r="N148" s="38" t="inlineStr">
        <is>
          <t>--</t>
        </is>
      </c>
      <c r="O148" s="38" t="inlineStr">
        <is>
          <t>JJH</t>
        </is>
      </c>
      <c r="P148" s="50" t="n"/>
      <c r="Q148" s="62">
        <f>IF(C148="Yes", 1, IF(C148="no", 0, IF(C148= "tardy", SUM(J148/I148),"")))</f>
        <v/>
      </c>
      <c r="R148" s="62">
        <f>LEFT(Train_Log[[#This Row],[COURSE NAME:]],FIND(" - ", Train_Log[[#This Row],[COURSE NAME:]]) -1)</f>
        <v/>
      </c>
      <c r="S148" s="62">
        <f>MID(Train_Log[[#This Row],[COURSE NAME:]],FIND(" - ", Train_Log[[#This Row],[COURSE NAME:]]), 13)</f>
        <v/>
      </c>
      <c r="T148" s="62">
        <f>MID(E148, FIND(" - ", E148) + 3, LEN(E148)) &amp; "_" &amp; TEXT(F148, "yyyymmdd") &amp; "_" &amp; TEXT(H148, "yyyymmdd")</f>
        <v/>
      </c>
    </row>
    <row r="149">
      <c r="B149" s="38" t="inlineStr">
        <is>
          <t>EE8</t>
        </is>
      </c>
      <c r="C149" s="38" t="inlineStr">
        <is>
          <t>No</t>
        </is>
      </c>
      <c r="D149" s="39" t="inlineStr">
        <is>
          <t>4429895</t>
        </is>
      </c>
      <c r="E149" s="38" t="inlineStr">
        <is>
          <t>PHONES - EMPLOYMENT VERIFICATION</t>
        </is>
      </c>
      <c r="F149" s="40" t="n">
        <v>45519</v>
      </c>
      <c r="G149" s="40" t="n">
        <v>45520</v>
      </c>
      <c r="H149" s="40" t="n">
        <v>45520</v>
      </c>
      <c r="I149" s="41" t="n">
        <v>3</v>
      </c>
      <c r="J149" s="41" t="n">
        <v>3</v>
      </c>
      <c r="K149" s="38" t="inlineStr">
        <is>
          <t>TR 3</t>
        </is>
      </c>
      <c r="L149" s="38" t="inlineStr">
        <is>
          <t>TR 6</t>
        </is>
      </c>
      <c r="M149" s="38" t="inlineStr">
        <is>
          <t>--</t>
        </is>
      </c>
      <c r="N149" s="38" t="inlineStr">
        <is>
          <t>--</t>
        </is>
      </c>
      <c r="O149" s="38" t="inlineStr">
        <is>
          <t>JJH</t>
        </is>
      </c>
      <c r="P149" s="44" t="n"/>
      <c r="Q149" s="62">
        <f>IF(C149="Yes", 1, IF(C149="no", 0, IF(C149= "tardy", SUM(J149/I149),"")))</f>
        <v/>
      </c>
      <c r="R149" s="62">
        <f>LEFT(Train_Log[[#This Row],[COURSE NAME:]],FIND(" - ", Train_Log[[#This Row],[COURSE NAME:]]) -1)</f>
        <v/>
      </c>
      <c r="S149" s="62">
        <f>MID(Train_Log[[#This Row],[COURSE NAME:]],FIND(" - ", Train_Log[[#This Row],[COURSE NAME:]]), 13)</f>
        <v/>
      </c>
      <c r="T149" s="62">
        <f>MID(E149, FIND(" - ", E149) + 3, LEN(E149)) &amp; "_" &amp; TEXT(F149, "yyyymmdd") &amp; "_" &amp; TEXT(H149, "yyyymmdd")</f>
        <v/>
      </c>
    </row>
    <row r="150">
      <c r="B150" s="38" t="inlineStr">
        <is>
          <t>EE80</t>
        </is>
      </c>
      <c r="C150" s="38" t="inlineStr">
        <is>
          <t>No</t>
        </is>
      </c>
      <c r="D150" s="39" t="inlineStr">
        <is>
          <t>6810918</t>
        </is>
      </c>
      <c r="E150" s="38" t="inlineStr">
        <is>
          <t>LWOP - HCES SUPERUSER TRAINING</t>
        </is>
      </c>
      <c r="F150" s="40" t="n">
        <v>45385</v>
      </c>
      <c r="G150" s="40" t="n">
        <v>45385</v>
      </c>
      <c r="H150" s="40" t="n">
        <v>45385</v>
      </c>
      <c r="I150" s="41" t="n">
        <v>8</v>
      </c>
      <c r="J150" s="41" t="n">
        <v>8</v>
      </c>
      <c r="K150" s="38" t="inlineStr">
        <is>
          <t>TR 1</t>
        </is>
      </c>
      <c r="L150" s="38" t="inlineStr">
        <is>
          <t>--</t>
        </is>
      </c>
      <c r="M150" s="38" t="inlineStr">
        <is>
          <t>--</t>
        </is>
      </c>
      <c r="N150" s="38" t="inlineStr">
        <is>
          <t>--</t>
        </is>
      </c>
      <c r="O150" s="38" t="inlineStr">
        <is>
          <t>JJH</t>
        </is>
      </c>
      <c r="P150" s="44" t="n"/>
      <c r="Q150" s="62">
        <f>IF(C150="Yes", 1, IF(C150="no", 0, IF(C150= "tardy", SUM(J150/I150),"")))</f>
        <v/>
      </c>
      <c r="R150" s="62">
        <f>LEFT(Train_Log[[#This Row],[COURSE NAME:]],FIND(" - ", Train_Log[[#This Row],[COURSE NAME:]]) -1)</f>
        <v/>
      </c>
      <c r="S150" s="62">
        <f>MID(Train_Log[[#This Row],[COURSE NAME:]],FIND(" - ", Train_Log[[#This Row],[COURSE NAME:]]), 13)</f>
        <v/>
      </c>
      <c r="T150" s="62">
        <f>MID(E150, FIND(" - ", E150) + 3, LEN(E150)) &amp; "_" &amp; TEXT(F150, "yyyymmdd") &amp; "_" &amp; TEXT(H150, "yyyymmdd")</f>
        <v/>
      </c>
    </row>
    <row r="151">
      <c r="B151" s="38" t="inlineStr">
        <is>
          <t>EE21</t>
        </is>
      </c>
      <c r="C151" s="38" t="inlineStr">
        <is>
          <t>No</t>
        </is>
      </c>
      <c r="D151" s="39" t="inlineStr">
        <is>
          <t>4111299</t>
        </is>
      </c>
      <c r="E151" s="38" t="inlineStr">
        <is>
          <t>RTR - EFORM SEPARATIONS TRAINING</t>
        </is>
      </c>
      <c r="F151" s="40" t="n">
        <v>45752</v>
      </c>
      <c r="G151" s="40" t="n">
        <v>45756</v>
      </c>
      <c r="H151" s="40" t="n">
        <v>45756</v>
      </c>
      <c r="I151" s="41" t="n">
        <v>8</v>
      </c>
      <c r="J151" s="41" t="n">
        <v>8</v>
      </c>
      <c r="K151" s="38" t="inlineStr">
        <is>
          <t>TR 8</t>
        </is>
      </c>
      <c r="L151" s="38" t="inlineStr">
        <is>
          <t>TR 7</t>
        </is>
      </c>
      <c r="M151" s="38" t="inlineStr">
        <is>
          <t>--</t>
        </is>
      </c>
      <c r="N151" s="38" t="inlineStr">
        <is>
          <t>--</t>
        </is>
      </c>
      <c r="O151" s="38" t="inlineStr">
        <is>
          <t>JJH</t>
        </is>
      </c>
      <c r="P151" s="59" t="n"/>
      <c r="Q151" s="62">
        <f>IF(C151="Yes", 1, IF(C151="no", 0, IF(C151= "tardy", SUM(J151/I151),"")))</f>
        <v/>
      </c>
      <c r="R151" s="62">
        <f>LEFT(Train_Log[[#This Row],[COURSE NAME:]],FIND(" - ", Train_Log[[#This Row],[COURSE NAME:]]) -1)</f>
        <v/>
      </c>
      <c r="S151" s="62">
        <f>MID(Train_Log[[#This Row],[COURSE NAME:]],FIND(" - ", Train_Log[[#This Row],[COURSE NAME:]]), 13)</f>
        <v/>
      </c>
      <c r="T151" s="62">
        <f>MID(E151, FIND(" - ", E151) + 3, LEN(E151)) &amp; "_" &amp; TEXT(F151, "yyyymmdd") &amp; "_" &amp; TEXT(H151, "yyyymmdd")</f>
        <v/>
      </c>
    </row>
    <row r="152">
      <c r="B152" s="38" t="inlineStr">
        <is>
          <t>EE70</t>
        </is>
      </c>
      <c r="C152" s="38" t="inlineStr">
        <is>
          <t>No</t>
        </is>
      </c>
      <c r="D152" s="39" t="inlineStr">
        <is>
          <t>4423630</t>
        </is>
      </c>
      <c r="E152" s="38" t="inlineStr">
        <is>
          <t>SUPPORT - TRAINING - PTSP TRAINING</t>
        </is>
      </c>
      <c r="F152" s="40" t="n">
        <v>45823</v>
      </c>
      <c r="G152" s="40" t="n">
        <v>45823</v>
      </c>
      <c r="H152" s="40" t="n">
        <v>45823</v>
      </c>
      <c r="I152" s="41" t="n">
        <v>2</v>
      </c>
      <c r="J152" s="41" t="n">
        <v>2</v>
      </c>
      <c r="K152" s="38" t="inlineStr">
        <is>
          <t>TR 5</t>
        </is>
      </c>
      <c r="L152" s="38" t="inlineStr">
        <is>
          <t>--</t>
        </is>
      </c>
      <c r="M152" s="38" t="inlineStr">
        <is>
          <t>--</t>
        </is>
      </c>
      <c r="N152" s="38" t="inlineStr">
        <is>
          <t>--</t>
        </is>
      </c>
      <c r="O152" s="38" t="inlineStr">
        <is>
          <t>JJH</t>
        </is>
      </c>
      <c r="P152" s="59" t="n"/>
      <c r="Q152" s="62">
        <f>IF(C152="Yes", 1, IF(C152="no", 0, IF(C152= "tardy", SUM(J152/I152),"")))</f>
        <v/>
      </c>
      <c r="R152" s="62">
        <f>LEFT(Train_Log[[#This Row],[COURSE NAME:]],FIND(" - ", Train_Log[[#This Row],[COURSE NAME:]]) -1)</f>
        <v/>
      </c>
      <c r="S152" s="62">
        <f>MID(Train_Log[[#This Row],[COURSE NAME:]],FIND(" - ", Train_Log[[#This Row],[COURSE NAME:]]), 13)</f>
        <v/>
      </c>
      <c r="T152" s="62">
        <f>MID(E152, FIND(" - ", E152) + 3, LEN(E152)) &amp; "_" &amp; TEXT(F152, "yyyymmdd") &amp; "_" &amp; TEXT(H152, "yyyymmdd")</f>
        <v/>
      </c>
    </row>
    <row r="153">
      <c r="B153" s="38" t="inlineStr">
        <is>
          <t>EE174</t>
        </is>
      </c>
      <c r="C153" s="38" t="inlineStr">
        <is>
          <t>No</t>
        </is>
      </c>
      <c r="D153" s="39" t="inlineStr">
        <is>
          <t>4834293</t>
        </is>
      </c>
      <c r="E153" s="38" t="inlineStr">
        <is>
          <t>OPTIONAL RETIREMENTS - MAILBUILD</t>
        </is>
      </c>
      <c r="F153" s="40" t="n">
        <v>45614</v>
      </c>
      <c r="G153" s="40" t="n">
        <v>45614</v>
      </c>
      <c r="H153" s="40" t="n">
        <v>45614</v>
      </c>
      <c r="I153" s="41" t="n">
        <v>8</v>
      </c>
      <c r="J153" s="41" t="n">
        <v>8</v>
      </c>
      <c r="K153" s="38" t="inlineStr">
        <is>
          <t>TR 1</t>
        </is>
      </c>
      <c r="L153" s="38" t="inlineStr">
        <is>
          <t>TR 1</t>
        </is>
      </c>
      <c r="M153" s="38" t="inlineStr">
        <is>
          <t>--</t>
        </is>
      </c>
      <c r="N153" s="38" t="inlineStr">
        <is>
          <t>--</t>
        </is>
      </c>
      <c r="O153" s="38" t="inlineStr">
        <is>
          <t>JJH</t>
        </is>
      </c>
      <c r="P153" s="59" t="n"/>
      <c r="Q153" s="62">
        <f>IF(C153="Yes", 1, IF(C153="no", 0, IF(C153= "tardy", SUM(J153/I153),"")))</f>
        <v/>
      </c>
      <c r="R153" s="62">
        <f>LEFT(Train_Log[[#This Row],[COURSE NAME:]],FIND(" - ", Train_Log[[#This Row],[COURSE NAME:]]) -1)</f>
        <v/>
      </c>
      <c r="S153" s="62">
        <f>MID(Train_Log[[#This Row],[COURSE NAME:]],FIND(" - ", Train_Log[[#This Row],[COURSE NAME:]]), 13)</f>
        <v/>
      </c>
      <c r="T153" s="62">
        <f>MID(E153, FIND(" - ", E153) + 3, LEN(E153)) &amp; "_" &amp; TEXT(F153, "yyyymmdd") &amp; "_" &amp; TEXT(H153, "yyyymmdd")</f>
        <v/>
      </c>
    </row>
    <row r="154">
      <c r="B154" s="38" t="inlineStr">
        <is>
          <t>EE53</t>
        </is>
      </c>
      <c r="C154" s="38" t="inlineStr">
        <is>
          <t>No</t>
        </is>
      </c>
      <c r="D154" s="39" t="inlineStr">
        <is>
          <t>5587688</t>
        </is>
      </c>
      <c r="E154" s="38" t="inlineStr">
        <is>
          <t>RTR - EFORM SEPARATIONS TRAINING</t>
        </is>
      </c>
      <c r="F154" s="40" t="n">
        <v>45515</v>
      </c>
      <c r="G154" s="40" t="n">
        <v>45515</v>
      </c>
      <c r="H154" s="40" t="n">
        <v>45515</v>
      </c>
      <c r="I154" s="41" t="n">
        <v>3</v>
      </c>
      <c r="J154" s="41" t="n">
        <v>3</v>
      </c>
      <c r="K154" s="38" t="inlineStr">
        <is>
          <t>TR 6</t>
        </is>
      </c>
      <c r="L154" s="38" t="inlineStr">
        <is>
          <t>TR 2</t>
        </is>
      </c>
      <c r="M154" s="38" t="inlineStr">
        <is>
          <t>--</t>
        </is>
      </c>
      <c r="N154" s="38" t="inlineStr">
        <is>
          <t>--</t>
        </is>
      </c>
      <c r="O154" s="38" t="inlineStr">
        <is>
          <t>JJH</t>
        </is>
      </c>
      <c r="P154" s="59" t="n"/>
      <c r="Q154" s="62">
        <f>IF(C154="Yes", 1, IF(C154="no", 0, IF(C154= "tardy", SUM(J154/I154),"")))</f>
        <v/>
      </c>
      <c r="R154" s="62">
        <f>LEFT(Train_Log[[#This Row],[COURSE NAME:]],FIND(" - ", Train_Log[[#This Row],[COURSE NAME:]]) -1)</f>
        <v/>
      </c>
      <c r="S154" s="62">
        <f>MID(Train_Log[[#This Row],[COURSE NAME:]],FIND(" - ", Train_Log[[#This Row],[COURSE NAME:]]), 13)</f>
        <v/>
      </c>
      <c r="T154" s="62">
        <f>MID(E154, FIND(" - ", E154) + 3, LEN(E154)) &amp; "_" &amp; TEXT(F154, "yyyymmdd") &amp; "_" &amp; TEXT(H154, "yyyymmdd")</f>
        <v/>
      </c>
    </row>
    <row r="155">
      <c r="B155" s="45" t="inlineStr">
        <is>
          <t>EE2</t>
        </is>
      </c>
      <c r="C155" s="38" t="inlineStr">
        <is>
          <t>No</t>
        </is>
      </c>
      <c r="D155" s="46" t="inlineStr">
        <is>
          <t>4466956</t>
        </is>
      </c>
      <c r="E155" s="45" t="inlineStr">
        <is>
          <t>OPTIONAL RETIREMENTS - MAILBUILD</t>
        </is>
      </c>
      <c r="F155" s="44" t="n">
        <v>45739</v>
      </c>
      <c r="G155" s="40" t="n">
        <v>45739</v>
      </c>
      <c r="H155" s="44" t="n">
        <v>45739</v>
      </c>
      <c r="I155" s="41" t="n">
        <v>8</v>
      </c>
      <c r="J155" s="47" t="n">
        <v>8</v>
      </c>
      <c r="K155" s="45" t="inlineStr">
        <is>
          <t>TR 4</t>
        </is>
      </c>
      <c r="L155" s="45" t="inlineStr">
        <is>
          <t>TR 9</t>
        </is>
      </c>
      <c r="M155" s="45" t="inlineStr">
        <is>
          <t>--</t>
        </is>
      </c>
      <c r="N155" s="38" t="inlineStr">
        <is>
          <t>--</t>
        </is>
      </c>
      <c r="O155" s="38" t="inlineStr">
        <is>
          <t>JJH</t>
        </is>
      </c>
      <c r="Q155" s="62">
        <f>IF(C155="Yes", 1, IF(C155="no", 0, IF(C155= "tardy", SUM(J155/I155),"")))</f>
        <v/>
      </c>
      <c r="R155" s="62">
        <f>LEFT(Train_Log[[#This Row],[COURSE NAME:]],FIND(" - ", Train_Log[[#This Row],[COURSE NAME:]]) -1)</f>
        <v/>
      </c>
      <c r="S155" s="62">
        <f>MID(Train_Log[[#This Row],[COURSE NAME:]],FIND(" - ", Train_Log[[#This Row],[COURSE NAME:]]), 13)</f>
        <v/>
      </c>
      <c r="T155" s="62">
        <f>MID(E155, FIND(" - ", E155) + 3, LEN(E155)) &amp; "_" &amp; TEXT(F155, "yyyymmdd") &amp; "_" &amp; TEXT(H155, "yyyymmdd")</f>
        <v/>
      </c>
    </row>
    <row r="156">
      <c r="B156" s="38" t="inlineStr">
        <is>
          <t>EE144</t>
        </is>
      </c>
      <c r="C156" s="38" t="inlineStr">
        <is>
          <t>No</t>
        </is>
      </c>
      <c r="D156" s="39" t="inlineStr">
        <is>
          <t>5600627</t>
        </is>
      </c>
      <c r="E156" s="38" t="inlineStr">
        <is>
          <t>LWOP - HCES SUPERUSER TRAINING</t>
        </is>
      </c>
      <c r="F156" s="44" t="n">
        <v>45372</v>
      </c>
      <c r="G156" s="40" t="n">
        <v>45373</v>
      </c>
      <c r="H156" s="44" t="n">
        <v>45373</v>
      </c>
      <c r="I156" s="41" t="n">
        <v>2</v>
      </c>
      <c r="J156" s="42" t="n">
        <v>2</v>
      </c>
      <c r="K156" s="38" t="inlineStr">
        <is>
          <t>TR 7</t>
        </is>
      </c>
      <c r="L156" s="38" t="inlineStr">
        <is>
          <t>TR 1</t>
        </is>
      </c>
      <c r="M156" s="38" t="inlineStr">
        <is>
          <t>--</t>
        </is>
      </c>
      <c r="N156" s="38" t="inlineStr">
        <is>
          <t>--</t>
        </is>
      </c>
      <c r="O156" s="38" t="inlineStr">
        <is>
          <t>JJH</t>
        </is>
      </c>
      <c r="Q156" s="62">
        <f>IF(C156="Yes", 1, IF(C156="no", 0, IF(C156= "tardy", SUM(J156/I156),"")))</f>
        <v/>
      </c>
      <c r="R156" s="62">
        <f>LEFT(Train_Log[[#This Row],[COURSE NAME:]],FIND(" - ", Train_Log[[#This Row],[COURSE NAME:]]) -1)</f>
        <v/>
      </c>
      <c r="S156" s="62">
        <f>MID(Train_Log[[#This Row],[COURSE NAME:]],FIND(" - ", Train_Log[[#This Row],[COURSE NAME:]]), 13)</f>
        <v/>
      </c>
      <c r="T156" s="62">
        <f>MID(E156, FIND(" - ", E156) + 3, LEN(E156)) &amp; "_" &amp; TEXT(F156, "yyyymmdd") &amp; "_" &amp; TEXT(H156, "yyyymmdd")</f>
        <v/>
      </c>
    </row>
    <row r="157">
      <c r="B157" s="38" t="inlineStr">
        <is>
          <t>EE118</t>
        </is>
      </c>
      <c r="C157" s="38" t="inlineStr">
        <is>
          <t>No</t>
        </is>
      </c>
      <c r="D157" s="39" t="inlineStr">
        <is>
          <t>5110987</t>
        </is>
      </c>
      <c r="E157" s="38" t="inlineStr">
        <is>
          <t>PHONES - EMPLOYMENT VERIFICATION</t>
        </is>
      </c>
      <c r="F157" s="44" t="n">
        <v>45619</v>
      </c>
      <c r="G157" s="40" t="n">
        <v>45621</v>
      </c>
      <c r="H157" s="44" t="n">
        <v>45621</v>
      </c>
      <c r="I157" s="41" t="n">
        <v>4</v>
      </c>
      <c r="J157" s="42" t="n">
        <v>4</v>
      </c>
      <c r="K157" s="38" t="inlineStr">
        <is>
          <t>TR 7</t>
        </is>
      </c>
      <c r="L157" s="38" t="inlineStr">
        <is>
          <t>TR 5</t>
        </is>
      </c>
      <c r="M157" s="38" t="inlineStr">
        <is>
          <t>--</t>
        </is>
      </c>
      <c r="N157" s="38" t="inlineStr">
        <is>
          <t>--</t>
        </is>
      </c>
      <c r="O157" s="38" t="inlineStr">
        <is>
          <t>JJH</t>
        </is>
      </c>
      <c r="Q157" s="62">
        <f>IF(C157="Yes", 1, IF(C157="no", 0, IF(C157= "tardy", SUM(J157/I157),"")))</f>
        <v/>
      </c>
      <c r="R157" s="62">
        <f>LEFT(Train_Log[[#This Row],[COURSE NAME:]],FIND(" - ", Train_Log[[#This Row],[COURSE NAME:]]) -1)</f>
        <v/>
      </c>
      <c r="S157" s="62">
        <f>MID(Train_Log[[#This Row],[COURSE NAME:]],FIND(" - ", Train_Log[[#This Row],[COURSE NAME:]]), 13)</f>
        <v/>
      </c>
      <c r="T157" s="62">
        <f>MID(E157, FIND(" - ", E157) + 3, LEN(E157)) &amp; "_" &amp; TEXT(F157, "yyyymmdd") &amp; "_" &amp; TEXT(H157, "yyyymmdd")</f>
        <v/>
      </c>
    </row>
    <row r="158">
      <c r="B158" s="38" t="inlineStr">
        <is>
          <t>EE30</t>
        </is>
      </c>
      <c r="C158" s="38" t="inlineStr">
        <is>
          <t>No</t>
        </is>
      </c>
      <c r="D158" s="39" t="inlineStr">
        <is>
          <t>6471559</t>
        </is>
      </c>
      <c r="E158" s="38" t="inlineStr">
        <is>
          <t>LWOP - HCES SU FACILITATION TRAINING</t>
        </is>
      </c>
      <c r="F158" s="44" t="n">
        <v>45320</v>
      </c>
      <c r="G158" s="40" t="n">
        <v>45320</v>
      </c>
      <c r="H158" s="44" t="n">
        <v>45320</v>
      </c>
      <c r="I158" s="41" t="n">
        <v>8</v>
      </c>
      <c r="J158" s="42" t="n">
        <v>8</v>
      </c>
      <c r="K158" s="38" t="inlineStr">
        <is>
          <t>TR 8</t>
        </is>
      </c>
      <c r="L158" s="38" t="inlineStr">
        <is>
          <t>TR 6</t>
        </is>
      </c>
      <c r="M158" s="38" t="inlineStr">
        <is>
          <t>--</t>
        </is>
      </c>
      <c r="N158" s="38" t="inlineStr">
        <is>
          <t>--</t>
        </is>
      </c>
      <c r="O158" s="38" t="inlineStr">
        <is>
          <t>JJH</t>
        </is>
      </c>
      <c r="Q158" s="62">
        <f>IF(C158="Yes", 1, IF(C158="no", 0, IF(C158= "tardy", SUM(J158/I158),"")))</f>
        <v/>
      </c>
      <c r="R158" s="62">
        <f>LEFT(Train_Log[[#This Row],[COURSE NAME:]],FIND(" - ", Train_Log[[#This Row],[COURSE NAME:]]) -1)</f>
        <v/>
      </c>
      <c r="S158" s="62">
        <f>MID(Train_Log[[#This Row],[COURSE NAME:]],FIND(" - ", Train_Log[[#This Row],[COURSE NAME:]]), 13)</f>
        <v/>
      </c>
      <c r="T158" s="62">
        <f>MID(E158, FIND(" - ", E158) + 3, LEN(E158)) &amp; "_" &amp; TEXT(F158, "yyyymmdd") &amp; "_" &amp; TEXT(H158, "yyyymmdd")</f>
        <v/>
      </c>
    </row>
    <row r="159">
      <c r="B159" s="38" t="inlineStr">
        <is>
          <t>EE23</t>
        </is>
      </c>
      <c r="C159" s="38" t="inlineStr">
        <is>
          <t>No</t>
        </is>
      </c>
      <c r="D159" s="39" t="inlineStr">
        <is>
          <t>4833985</t>
        </is>
      </c>
      <c r="E159" s="38" t="inlineStr">
        <is>
          <t>LWOP - HCES SU FACILITATION TRAINING</t>
        </is>
      </c>
      <c r="F159" s="44" t="n">
        <v>45407</v>
      </c>
      <c r="G159" s="40" t="n">
        <v>45407</v>
      </c>
      <c r="H159" s="44" t="n">
        <v>45407</v>
      </c>
      <c r="I159" s="41" t="n">
        <v>4</v>
      </c>
      <c r="J159" s="42" t="n">
        <v>4</v>
      </c>
      <c r="K159" s="38" t="inlineStr">
        <is>
          <t>TR 9</t>
        </is>
      </c>
      <c r="L159" s="38" t="inlineStr">
        <is>
          <t>TR 2</t>
        </is>
      </c>
      <c r="M159" s="38" t="inlineStr">
        <is>
          <t>--</t>
        </is>
      </c>
      <c r="N159" s="38" t="inlineStr">
        <is>
          <t>--</t>
        </is>
      </c>
      <c r="O159" s="38" t="inlineStr">
        <is>
          <t>JJH</t>
        </is>
      </c>
      <c r="Q159" s="62">
        <f>IF(C159="Yes", 1, IF(C159="no", 0, IF(C159= "tardy", SUM(J159/I159),"")))</f>
        <v/>
      </c>
      <c r="R159" s="62">
        <f>LEFT(Train_Log[[#This Row],[COURSE NAME:]],FIND(" - ", Train_Log[[#This Row],[COURSE NAME:]]) -1)</f>
        <v/>
      </c>
      <c r="S159" s="62">
        <f>MID(Train_Log[[#This Row],[COURSE NAME:]],FIND(" - ", Train_Log[[#This Row],[COURSE NAME:]]), 13)</f>
        <v/>
      </c>
      <c r="T159" s="62">
        <f>MID(E159, FIND(" - ", E159) + 3, LEN(E159)) &amp; "_" &amp; TEXT(F159, "yyyymmdd") &amp; "_" &amp; TEXT(H159, "yyyymmdd")</f>
        <v/>
      </c>
    </row>
    <row r="160">
      <c r="B160" s="38" t="inlineStr">
        <is>
          <t>EE102</t>
        </is>
      </c>
      <c r="C160" s="38" t="inlineStr">
        <is>
          <t>No</t>
        </is>
      </c>
      <c r="D160" s="39" t="inlineStr">
        <is>
          <t>4960697</t>
        </is>
      </c>
      <c r="E160" s="38" t="inlineStr">
        <is>
          <t>RTR - EFORM SEPARATIONS TRAINING</t>
        </is>
      </c>
      <c r="F160" s="44" t="n">
        <v>45646</v>
      </c>
      <c r="G160" s="40" t="n">
        <v>45646</v>
      </c>
      <c r="H160" s="44" t="n">
        <v>45646</v>
      </c>
      <c r="I160" s="41" t="n">
        <v>2</v>
      </c>
      <c r="J160" s="42" t="n">
        <v>2</v>
      </c>
      <c r="K160" s="38" t="inlineStr">
        <is>
          <t>TR 2</t>
        </is>
      </c>
      <c r="L160" s="38" t="inlineStr">
        <is>
          <t>TR 9</t>
        </is>
      </c>
      <c r="M160" s="38" t="inlineStr">
        <is>
          <t>--</t>
        </is>
      </c>
      <c r="N160" s="38" t="inlineStr">
        <is>
          <t>--</t>
        </is>
      </c>
      <c r="O160" s="38" t="inlineStr">
        <is>
          <t>JJH</t>
        </is>
      </c>
      <c r="Q160" s="62">
        <f>IF(C160="Yes", 1, IF(C160="no", 0, IF(C160= "tardy", SUM(J160/I160),"")))</f>
        <v/>
      </c>
      <c r="R160" s="62">
        <f>LEFT(Train_Log[[#This Row],[COURSE NAME:]],FIND(" - ", Train_Log[[#This Row],[COURSE NAME:]]) -1)</f>
        <v/>
      </c>
      <c r="S160" s="62">
        <f>MID(Train_Log[[#This Row],[COURSE NAME:]],FIND(" - ", Train_Log[[#This Row],[COURSE NAME:]]), 13)</f>
        <v/>
      </c>
      <c r="T160" s="62">
        <f>MID(E160, FIND(" - ", E160) + 3, LEN(E160)) &amp; "_" &amp; TEXT(F160, "yyyymmdd") &amp; "_" &amp; TEXT(H160, "yyyymmdd")</f>
        <v/>
      </c>
    </row>
    <row r="161">
      <c r="B161" s="38" t="inlineStr">
        <is>
          <t>EE163</t>
        </is>
      </c>
      <c r="C161" s="38" t="inlineStr">
        <is>
          <t>No</t>
        </is>
      </c>
      <c r="D161" s="39" t="inlineStr">
        <is>
          <t>4013611</t>
        </is>
      </c>
      <c r="E161" s="38" t="inlineStr">
        <is>
          <t>PHONES - EMPLOYMENT VERIFICATION</t>
        </is>
      </c>
      <c r="F161" s="44" t="n">
        <v>45821</v>
      </c>
      <c r="G161" s="40" t="n">
        <v>45821</v>
      </c>
      <c r="H161" s="44" t="n">
        <v>45821</v>
      </c>
      <c r="I161" s="41" t="n">
        <v>3</v>
      </c>
      <c r="J161" s="42" t="n">
        <v>3</v>
      </c>
      <c r="K161" s="38" t="inlineStr">
        <is>
          <t>TR 6</t>
        </is>
      </c>
      <c r="L161" s="38" t="inlineStr">
        <is>
          <t>--</t>
        </is>
      </c>
      <c r="M161" s="38" t="inlineStr">
        <is>
          <t>--</t>
        </is>
      </c>
      <c r="N161" s="38" t="inlineStr">
        <is>
          <t>--</t>
        </is>
      </c>
      <c r="O161" s="38" t="inlineStr">
        <is>
          <t>JJH</t>
        </is>
      </c>
      <c r="Q161" s="62">
        <f>IF(C161="Yes", 1, IF(C161="no", 0, IF(C161= "tardy", SUM(J161/I161),"")))</f>
        <v/>
      </c>
      <c r="R161" s="62">
        <f>LEFT(Train_Log[[#This Row],[COURSE NAME:]],FIND(" - ", Train_Log[[#This Row],[COURSE NAME:]]) -1)</f>
        <v/>
      </c>
      <c r="S161" s="62">
        <f>MID(Train_Log[[#This Row],[COURSE NAME:]],FIND(" - ", Train_Log[[#This Row],[COURSE NAME:]]), 13)</f>
        <v/>
      </c>
      <c r="T161" s="62">
        <f>MID(E161, FIND(" - ", E161) + 3, LEN(E161)) &amp; "_" &amp; TEXT(F161, "yyyymmdd") &amp; "_" &amp; TEXT(H161, "yyyymmdd")</f>
        <v/>
      </c>
    </row>
    <row r="162">
      <c r="B162" s="38" t="inlineStr">
        <is>
          <t>EE38</t>
        </is>
      </c>
      <c r="C162" s="38" t="inlineStr">
        <is>
          <t>No</t>
        </is>
      </c>
      <c r="D162" s="39" t="inlineStr">
        <is>
          <t>4652128</t>
        </is>
      </c>
      <c r="E162" s="38" t="inlineStr">
        <is>
          <t>SUPPORT - TRAINING - PTSP TRAINING</t>
        </is>
      </c>
      <c r="F162" s="44" t="n">
        <v>45404</v>
      </c>
      <c r="G162" s="40" t="n">
        <v>45404</v>
      </c>
      <c r="H162" s="44" t="n">
        <v>45404</v>
      </c>
      <c r="I162" s="41" t="n">
        <v>2</v>
      </c>
      <c r="J162" s="42" t="n">
        <v>2</v>
      </c>
      <c r="K162" s="38" t="inlineStr">
        <is>
          <t>TR 10</t>
        </is>
      </c>
      <c r="L162" s="38" t="inlineStr">
        <is>
          <t>TR 3</t>
        </is>
      </c>
      <c r="M162" s="38" t="inlineStr">
        <is>
          <t>--</t>
        </is>
      </c>
      <c r="N162" s="38" t="inlineStr">
        <is>
          <t>--</t>
        </is>
      </c>
      <c r="O162" s="38" t="inlineStr">
        <is>
          <t>JJH</t>
        </is>
      </c>
      <c r="Q162" s="62">
        <f>IF(C162="Yes", 1, IF(C162="no", 0, IF(C162= "tardy", SUM(J162/I162),"")))</f>
        <v/>
      </c>
      <c r="R162" s="62">
        <f>LEFT(Train_Log[[#This Row],[COURSE NAME:]],FIND(" - ", Train_Log[[#This Row],[COURSE NAME:]]) -1)</f>
        <v/>
      </c>
      <c r="S162" s="62">
        <f>MID(Train_Log[[#This Row],[COURSE NAME:]],FIND(" - ", Train_Log[[#This Row],[COURSE NAME:]]), 13)</f>
        <v/>
      </c>
      <c r="T162" s="62">
        <f>MID(E162, FIND(" - ", E162) + 3, LEN(E162)) &amp; "_" &amp; TEXT(F162, "yyyymmdd") &amp; "_" &amp; TEXT(H162, "yyyymmdd")</f>
        <v/>
      </c>
    </row>
    <row r="163">
      <c r="B163" s="38" t="inlineStr">
        <is>
          <t>EE168</t>
        </is>
      </c>
      <c r="C163" s="38" t="inlineStr">
        <is>
          <t>No</t>
        </is>
      </c>
      <c r="D163" s="39" t="inlineStr">
        <is>
          <t>4446319</t>
        </is>
      </c>
      <c r="E163" s="38" t="inlineStr">
        <is>
          <t>PHONES - EMPLOYMENT VERIFICATION</t>
        </is>
      </c>
      <c r="F163" s="44" t="n">
        <v>45480</v>
      </c>
      <c r="G163" s="40" t="n">
        <v>45484</v>
      </c>
      <c r="H163" s="44" t="n">
        <v>45484</v>
      </c>
      <c r="I163" s="41" t="n">
        <v>8</v>
      </c>
      <c r="J163" s="42" t="n">
        <v>8</v>
      </c>
      <c r="K163" s="38" t="inlineStr">
        <is>
          <t>TR 10</t>
        </is>
      </c>
      <c r="L163" s="38" t="inlineStr">
        <is>
          <t>TR 8</t>
        </is>
      </c>
      <c r="M163" s="38" t="inlineStr">
        <is>
          <t>--</t>
        </is>
      </c>
      <c r="N163" s="38" t="inlineStr">
        <is>
          <t>--</t>
        </is>
      </c>
      <c r="O163" s="38" t="inlineStr">
        <is>
          <t>JJH</t>
        </is>
      </c>
      <c r="Q163" s="62">
        <f>IF(C163="Yes", 1, IF(C163="no", 0, IF(C163= "tardy", SUM(J163/I163),"")))</f>
        <v/>
      </c>
      <c r="R163" s="62">
        <f>LEFT(Train_Log[[#This Row],[COURSE NAME:]],FIND(" - ", Train_Log[[#This Row],[COURSE NAME:]]) -1)</f>
        <v/>
      </c>
      <c r="S163" s="62">
        <f>MID(Train_Log[[#This Row],[COURSE NAME:]],FIND(" - ", Train_Log[[#This Row],[COURSE NAME:]]), 13)</f>
        <v/>
      </c>
      <c r="T163" s="62">
        <f>MID(E163, FIND(" - ", E163) + 3, LEN(E163)) &amp; "_" &amp; TEXT(F163, "yyyymmdd") &amp; "_" &amp; TEXT(H163, "yyyymmdd")</f>
        <v/>
      </c>
    </row>
    <row r="164">
      <c r="B164" s="38" t="inlineStr">
        <is>
          <t>EE175</t>
        </is>
      </c>
      <c r="C164" s="38" t="inlineStr">
        <is>
          <t>No</t>
        </is>
      </c>
      <c r="D164" s="39" t="inlineStr">
        <is>
          <t>4641054</t>
        </is>
      </c>
      <c r="E164" s="38" t="inlineStr">
        <is>
          <t>LWOP - HCES SUPERUSER TRAINING</t>
        </is>
      </c>
      <c r="F164" s="44" t="n">
        <v>45622</v>
      </c>
      <c r="G164" s="40" t="n">
        <v>45622</v>
      </c>
      <c r="H164" s="44" t="n">
        <v>45622</v>
      </c>
      <c r="I164" s="41" t="n">
        <v>4</v>
      </c>
      <c r="J164" s="42" t="n">
        <v>4</v>
      </c>
      <c r="K164" s="38" t="inlineStr">
        <is>
          <t>TR 8</t>
        </is>
      </c>
      <c r="L164" s="38" t="inlineStr">
        <is>
          <t>--</t>
        </is>
      </c>
      <c r="M164" s="38" t="inlineStr">
        <is>
          <t>--</t>
        </is>
      </c>
      <c r="N164" s="38" t="inlineStr">
        <is>
          <t>--</t>
        </is>
      </c>
      <c r="O164" s="38" t="inlineStr">
        <is>
          <t>JJH</t>
        </is>
      </c>
      <c r="Q164" s="62">
        <f>IF(C164="Yes", 1, IF(C164="no", 0, IF(C164= "tardy", SUM(J164/I164),"")))</f>
        <v/>
      </c>
      <c r="R164" s="62">
        <f>LEFT(Train_Log[[#This Row],[COURSE NAME:]],FIND(" - ", Train_Log[[#This Row],[COURSE NAME:]]) -1)</f>
        <v/>
      </c>
      <c r="S164" s="62">
        <f>MID(Train_Log[[#This Row],[COURSE NAME:]],FIND(" - ", Train_Log[[#This Row],[COURSE NAME:]]), 13)</f>
        <v/>
      </c>
      <c r="T164" s="62">
        <f>MID(E164, FIND(" - ", E164) + 3, LEN(E164)) &amp; "_" &amp; TEXT(F164, "yyyymmdd") &amp; "_" &amp; TEXT(H164, "yyyymmdd")</f>
        <v/>
      </c>
    </row>
    <row r="165">
      <c r="B165" s="38" t="inlineStr">
        <is>
          <t>EE78</t>
        </is>
      </c>
      <c r="C165" s="38" t="inlineStr">
        <is>
          <t>No</t>
        </is>
      </c>
      <c r="D165" s="39" t="inlineStr">
        <is>
          <t>5490113</t>
        </is>
      </c>
      <c r="E165" s="38" t="inlineStr">
        <is>
          <t>RTR - EFORM SEPARATIONS TRAINING</t>
        </is>
      </c>
      <c r="F165" s="44" t="n">
        <v>45356</v>
      </c>
      <c r="G165" s="40" t="n">
        <v>45356</v>
      </c>
      <c r="H165" s="44" t="n">
        <v>45356</v>
      </c>
      <c r="I165" s="41" t="n">
        <v>3</v>
      </c>
      <c r="J165" s="42" t="n">
        <v>3</v>
      </c>
      <c r="K165" s="38" t="inlineStr">
        <is>
          <t>TR 8</t>
        </is>
      </c>
      <c r="L165" s="38" t="inlineStr">
        <is>
          <t>TR 8</t>
        </is>
      </c>
      <c r="M165" s="38" t="inlineStr">
        <is>
          <t>--</t>
        </is>
      </c>
      <c r="N165" s="38" t="inlineStr">
        <is>
          <t>--</t>
        </is>
      </c>
      <c r="O165" s="38" t="inlineStr">
        <is>
          <t>JJH</t>
        </is>
      </c>
      <c r="Q165" s="62">
        <f>IF(C165="Yes", 1, IF(C165="no", 0, IF(C165= "tardy", SUM(J165/I165),"")))</f>
        <v/>
      </c>
      <c r="R165" s="62">
        <f>LEFT(Train_Log[[#This Row],[COURSE NAME:]],FIND(" - ", Train_Log[[#This Row],[COURSE NAME:]]) -1)</f>
        <v/>
      </c>
      <c r="S165" s="62">
        <f>MID(Train_Log[[#This Row],[COURSE NAME:]],FIND(" - ", Train_Log[[#This Row],[COURSE NAME:]]), 13)</f>
        <v/>
      </c>
      <c r="T165" s="62">
        <f>MID(E165, FIND(" - ", E165) + 3, LEN(E165)) &amp; "_" &amp; TEXT(F165, "yyyymmdd") &amp; "_" &amp; TEXT(H165, "yyyymmdd")</f>
        <v/>
      </c>
    </row>
    <row r="166">
      <c r="B166" s="38" t="inlineStr">
        <is>
          <t>EE10</t>
        </is>
      </c>
      <c r="C166" s="38" t="inlineStr">
        <is>
          <t>No</t>
        </is>
      </c>
      <c r="D166" s="39" t="inlineStr">
        <is>
          <t>6287433</t>
        </is>
      </c>
      <c r="E166" s="38" t="inlineStr">
        <is>
          <t>PHONES - BENEFITS</t>
        </is>
      </c>
      <c r="F166" s="44" t="n">
        <v>45676</v>
      </c>
      <c r="G166" s="40" t="n">
        <v>45676</v>
      </c>
      <c r="H166" s="44" t="n">
        <v>45676</v>
      </c>
      <c r="I166" s="41" t="n">
        <v>2</v>
      </c>
      <c r="J166" s="42" t="n">
        <v>2</v>
      </c>
      <c r="K166" s="38" t="inlineStr">
        <is>
          <t>TR 10</t>
        </is>
      </c>
      <c r="L166" s="38" t="inlineStr">
        <is>
          <t>TR 10</t>
        </is>
      </c>
      <c r="M166" s="38" t="inlineStr">
        <is>
          <t>--</t>
        </is>
      </c>
      <c r="N166" s="38" t="inlineStr">
        <is>
          <t>--</t>
        </is>
      </c>
      <c r="O166" s="38" t="inlineStr">
        <is>
          <t>JJH</t>
        </is>
      </c>
      <c r="Q166" s="62">
        <f>IF(C166="Yes", 1, IF(C166="no", 0, IF(C166= "tardy", SUM(J166/I166),"")))</f>
        <v/>
      </c>
      <c r="R166" s="62">
        <f>LEFT(Train_Log[[#This Row],[COURSE NAME:]],FIND(" - ", Train_Log[[#This Row],[COURSE NAME:]]) -1)</f>
        <v/>
      </c>
      <c r="S166" s="62">
        <f>MID(Train_Log[[#This Row],[COURSE NAME:]],FIND(" - ", Train_Log[[#This Row],[COURSE NAME:]]), 13)</f>
        <v/>
      </c>
      <c r="T166" s="62">
        <f>MID(E166, FIND(" - ", E166) + 3, LEN(E166)) &amp; "_" &amp; TEXT(F166, "yyyymmdd") &amp; "_" &amp; TEXT(H166, "yyyymmdd")</f>
        <v/>
      </c>
    </row>
    <row r="167">
      <c r="B167" s="38" t="inlineStr">
        <is>
          <t>EE130</t>
        </is>
      </c>
      <c r="C167" s="38" t="inlineStr">
        <is>
          <t>No</t>
        </is>
      </c>
      <c r="D167" s="39" t="inlineStr">
        <is>
          <t>4580205</t>
        </is>
      </c>
      <c r="E167" s="38" t="inlineStr">
        <is>
          <t>LWOP - HCES SU FACILITATION TRAINING</t>
        </is>
      </c>
      <c r="F167" s="44" t="n">
        <v>45772</v>
      </c>
      <c r="G167" s="40" t="n">
        <v>45774</v>
      </c>
      <c r="H167" s="44" t="n">
        <v>45774</v>
      </c>
      <c r="I167" s="41" t="n">
        <v>2</v>
      </c>
      <c r="J167" s="42" t="n">
        <v>2</v>
      </c>
      <c r="K167" s="38" t="inlineStr">
        <is>
          <t>TR 8</t>
        </is>
      </c>
      <c r="L167" s="38" t="inlineStr">
        <is>
          <t>TR 10</t>
        </is>
      </c>
      <c r="M167" s="38" t="inlineStr">
        <is>
          <t>--</t>
        </is>
      </c>
      <c r="N167" s="38" t="inlineStr">
        <is>
          <t>--</t>
        </is>
      </c>
      <c r="O167" s="38" t="inlineStr">
        <is>
          <t>JJH</t>
        </is>
      </c>
      <c r="Q167" s="62">
        <f>IF(C167="Yes", 1, IF(C167="no", 0, IF(C167= "tardy", SUM(J167/I167),"")))</f>
        <v/>
      </c>
      <c r="R167" s="62">
        <f>LEFT(Train_Log[[#This Row],[COURSE NAME:]],FIND(" - ", Train_Log[[#This Row],[COURSE NAME:]]) -1)</f>
        <v/>
      </c>
      <c r="S167" s="62">
        <f>MID(Train_Log[[#This Row],[COURSE NAME:]],FIND(" - ", Train_Log[[#This Row],[COURSE NAME:]]), 13)</f>
        <v/>
      </c>
      <c r="T167" s="62">
        <f>MID(E167, FIND(" - ", E167) + 3, LEN(E167)) &amp; "_" &amp; TEXT(F167, "yyyymmdd") &amp; "_" &amp; TEXT(H167, "yyyymmdd")</f>
        <v/>
      </c>
    </row>
    <row r="168">
      <c r="B168" s="38" t="inlineStr">
        <is>
          <t>EE167</t>
        </is>
      </c>
      <c r="C168" s="38" t="inlineStr">
        <is>
          <t>No</t>
        </is>
      </c>
      <c r="D168" t="inlineStr">
        <is>
          <t>6129371</t>
        </is>
      </c>
      <c r="E168" s="38" t="inlineStr">
        <is>
          <t>SUPPORT - TRAINING - PTSP TRAINING</t>
        </is>
      </c>
      <c r="F168" s="40" t="n">
        <v>45628</v>
      </c>
      <c r="G168" s="40" t="n">
        <v>45630</v>
      </c>
      <c r="H168" s="40" t="n">
        <v>45630</v>
      </c>
      <c r="I168" s="41" t="n">
        <v>2</v>
      </c>
      <c r="J168" s="41" t="n">
        <v>2</v>
      </c>
      <c r="K168" s="38" t="inlineStr">
        <is>
          <t>TR 1</t>
        </is>
      </c>
      <c r="L168" s="38" t="inlineStr">
        <is>
          <t>TR 8</t>
        </is>
      </c>
      <c r="M168" s="38" t="inlineStr">
        <is>
          <t>--</t>
        </is>
      </c>
      <c r="N168" s="38" t="inlineStr">
        <is>
          <t>--</t>
        </is>
      </c>
      <c r="O168" s="38" t="inlineStr">
        <is>
          <t>JJH</t>
        </is>
      </c>
      <c r="Q168" s="62">
        <f>IF(C168="Yes", 1, IF(C168="no", 0, IF(C168= "tardy", SUM(J168/I168),"")))</f>
        <v/>
      </c>
      <c r="R168" s="62">
        <f>LEFT(Train_Log[[#This Row],[COURSE NAME:]],FIND(" - ", Train_Log[[#This Row],[COURSE NAME:]]) -1)</f>
        <v/>
      </c>
      <c r="S168" s="62">
        <f>MID(Train_Log[[#This Row],[COURSE NAME:]],FIND(" - ", Train_Log[[#This Row],[COURSE NAME:]]), 13)</f>
        <v/>
      </c>
      <c r="T168" s="62">
        <f>MID(E168, FIND(" - ", E168) + 3, LEN(E168)) &amp; "_" &amp; TEXT(F168, "yyyymmdd") &amp; "_" &amp; TEXT(H168, "yyyymmdd")</f>
        <v/>
      </c>
    </row>
    <row r="169">
      <c r="B169" s="38" t="inlineStr">
        <is>
          <t>EE27</t>
        </is>
      </c>
      <c r="C169" s="38" t="inlineStr">
        <is>
          <t>No</t>
        </is>
      </c>
      <c r="D169" t="inlineStr">
        <is>
          <t>5759593</t>
        </is>
      </c>
      <c r="E169" s="38" t="inlineStr">
        <is>
          <t>LWOP - HCES SUPERUSER TRAINING</t>
        </is>
      </c>
      <c r="F169" s="40" t="n">
        <v>45385</v>
      </c>
      <c r="G169" s="40" t="n">
        <v>45387</v>
      </c>
      <c r="H169" s="40" t="n">
        <v>45387</v>
      </c>
      <c r="I169" s="41" t="n">
        <v>2</v>
      </c>
      <c r="J169" s="41" t="n">
        <v>2</v>
      </c>
      <c r="K169" s="38" t="inlineStr">
        <is>
          <t>TR 4</t>
        </is>
      </c>
      <c r="L169" s="38" t="inlineStr">
        <is>
          <t>TR 8</t>
        </is>
      </c>
      <c r="M169" s="38" t="inlineStr">
        <is>
          <t>--</t>
        </is>
      </c>
      <c r="N169" s="38" t="inlineStr">
        <is>
          <t>--</t>
        </is>
      </c>
      <c r="O169" s="38" t="inlineStr">
        <is>
          <t>JJH</t>
        </is>
      </c>
      <c r="P169" s="50" t="n"/>
      <c r="Q169" s="62">
        <f>IF(C169="Yes", 1, IF(C169="no", 0, IF(C169= "tardy", SUM(J169/I169),"")))</f>
        <v/>
      </c>
      <c r="R169" s="62">
        <f>LEFT(Train_Log[[#This Row],[COURSE NAME:]],FIND(" - ", Train_Log[[#This Row],[COURSE NAME:]]) -1)</f>
        <v/>
      </c>
      <c r="S169" s="62">
        <f>MID(Train_Log[[#This Row],[COURSE NAME:]],FIND(" - ", Train_Log[[#This Row],[COURSE NAME:]]), 13)</f>
        <v/>
      </c>
      <c r="T169" s="62">
        <f>MID(E169, FIND(" - ", E169) + 3, LEN(E169)) &amp; "_" &amp; TEXT(F169, "yyyymmdd") &amp; "_" &amp; TEXT(H169, "yyyymmdd")</f>
        <v/>
      </c>
    </row>
    <row r="170">
      <c r="B170" s="38" t="inlineStr">
        <is>
          <t>EE113</t>
        </is>
      </c>
      <c r="C170" s="38" t="inlineStr">
        <is>
          <t>No</t>
        </is>
      </c>
      <c r="D170" s="39" t="inlineStr">
        <is>
          <t>6093927</t>
        </is>
      </c>
      <c r="E170" s="38" t="inlineStr">
        <is>
          <t>PHONES - LWOP</t>
        </is>
      </c>
      <c r="F170" s="40" t="n">
        <v>45671</v>
      </c>
      <c r="G170" s="40" t="n">
        <v>45671</v>
      </c>
      <c r="H170" s="40" t="n">
        <v>45671</v>
      </c>
      <c r="I170" s="41" t="n">
        <v>4</v>
      </c>
      <c r="J170" s="41" t="n">
        <v>4</v>
      </c>
      <c r="K170" s="38" t="inlineStr">
        <is>
          <t>TR 7</t>
        </is>
      </c>
      <c r="L170" s="38" t="inlineStr">
        <is>
          <t>TR 6</t>
        </is>
      </c>
      <c r="M170" s="38" t="inlineStr">
        <is>
          <t>--</t>
        </is>
      </c>
      <c r="N170" s="38" t="inlineStr">
        <is>
          <t>--</t>
        </is>
      </c>
      <c r="O170" s="38" t="inlineStr">
        <is>
          <t>JJH</t>
        </is>
      </c>
      <c r="P170" s="44" t="n"/>
      <c r="Q170" s="62">
        <f>IF(C170="Yes", 1, IF(C170="no", 0, IF(C170= "tardy", SUM(J170/I170),"")))</f>
        <v/>
      </c>
      <c r="R170" s="62">
        <f>LEFT(Train_Log[[#This Row],[COURSE NAME:]],FIND(" - ", Train_Log[[#This Row],[COURSE NAME:]]) -1)</f>
        <v/>
      </c>
      <c r="S170" s="62">
        <f>MID(Train_Log[[#This Row],[COURSE NAME:]],FIND(" - ", Train_Log[[#This Row],[COURSE NAME:]]), 13)</f>
        <v/>
      </c>
      <c r="T170" s="62">
        <f>MID(E170, FIND(" - ", E170) + 3, LEN(E170)) &amp; "_" &amp; TEXT(F170, "yyyymmdd") &amp; "_" &amp; TEXT(H170, "yyyymmdd")</f>
        <v/>
      </c>
    </row>
    <row r="171">
      <c r="B171" s="38" t="inlineStr">
        <is>
          <t>EE174</t>
        </is>
      </c>
      <c r="C171" s="38" t="inlineStr">
        <is>
          <t>No</t>
        </is>
      </c>
      <c r="D171" s="39" t="inlineStr">
        <is>
          <t>4834293</t>
        </is>
      </c>
      <c r="E171" s="38" t="inlineStr">
        <is>
          <t>PHONES - BENEFITS</t>
        </is>
      </c>
      <c r="F171" s="40" t="n">
        <v>45641</v>
      </c>
      <c r="G171" s="40" t="n">
        <v>45641</v>
      </c>
      <c r="H171" s="40" t="n">
        <v>45641</v>
      </c>
      <c r="I171" s="41" t="n">
        <v>8</v>
      </c>
      <c r="J171" s="41" t="n">
        <v>8</v>
      </c>
      <c r="K171" s="38" t="inlineStr">
        <is>
          <t>TR 7</t>
        </is>
      </c>
      <c r="L171" s="38" t="inlineStr">
        <is>
          <t>TR 5</t>
        </is>
      </c>
      <c r="M171" s="38" t="inlineStr">
        <is>
          <t>--</t>
        </is>
      </c>
      <c r="N171" s="38" t="inlineStr">
        <is>
          <t>--</t>
        </is>
      </c>
      <c r="O171" s="38" t="inlineStr">
        <is>
          <t>JJH</t>
        </is>
      </c>
      <c r="P171" s="44" t="n"/>
      <c r="Q171" s="62">
        <f>IF(C171="Yes", 1, IF(C171="no", 0, IF(C171= "tardy", SUM(J171/I171),"")))</f>
        <v/>
      </c>
      <c r="R171" s="62">
        <f>LEFT(Train_Log[[#This Row],[COURSE NAME:]],FIND(" - ", Train_Log[[#This Row],[COURSE NAME:]]) -1)</f>
        <v/>
      </c>
      <c r="S171" s="62">
        <f>MID(Train_Log[[#This Row],[COURSE NAME:]],FIND(" - ", Train_Log[[#This Row],[COURSE NAME:]]), 13)</f>
        <v/>
      </c>
      <c r="T171" s="62">
        <f>MID(E171, FIND(" - ", E171) + 3, LEN(E171)) &amp; "_" &amp; TEXT(F171, "yyyymmdd") &amp; "_" &amp; TEXT(H171, "yyyymmdd")</f>
        <v/>
      </c>
    </row>
    <row r="172">
      <c r="B172" s="38" t="inlineStr">
        <is>
          <t>EE65</t>
        </is>
      </c>
      <c r="C172" s="38" t="inlineStr">
        <is>
          <t>No</t>
        </is>
      </c>
      <c r="D172" s="39" t="inlineStr">
        <is>
          <t>6773539</t>
        </is>
      </c>
      <c r="E172" s="38" t="inlineStr">
        <is>
          <t>PHONES - LWOP</t>
        </is>
      </c>
      <c r="F172" s="40" t="n">
        <v>45640</v>
      </c>
      <c r="G172" s="40" t="n">
        <v>45640</v>
      </c>
      <c r="H172" s="40" t="n">
        <v>45640</v>
      </c>
      <c r="I172" s="41" t="n">
        <v>2</v>
      </c>
      <c r="J172" s="41" t="n">
        <v>2</v>
      </c>
      <c r="K172" s="38" t="inlineStr">
        <is>
          <t>TR 6</t>
        </is>
      </c>
      <c r="L172" s="38" t="inlineStr">
        <is>
          <t>TR 5</t>
        </is>
      </c>
      <c r="M172" s="38" t="inlineStr">
        <is>
          <t>--</t>
        </is>
      </c>
      <c r="N172" s="38" t="inlineStr">
        <is>
          <t>--</t>
        </is>
      </c>
      <c r="O172" s="38" t="inlineStr">
        <is>
          <t>JJH</t>
        </is>
      </c>
      <c r="P172" s="44" t="n"/>
      <c r="Q172" s="62">
        <f>IF(C172="Yes", 1, IF(C172="no", 0, IF(C172= "tardy", SUM(J172/I172),"")))</f>
        <v/>
      </c>
      <c r="R172" s="62">
        <f>LEFT(Train_Log[[#This Row],[COURSE NAME:]],FIND(" - ", Train_Log[[#This Row],[COURSE NAME:]]) -1)</f>
        <v/>
      </c>
      <c r="S172" s="62">
        <f>MID(Train_Log[[#This Row],[COURSE NAME:]],FIND(" - ", Train_Log[[#This Row],[COURSE NAME:]]), 13)</f>
        <v/>
      </c>
      <c r="T172" s="62">
        <f>MID(E172, FIND(" - ", E172) + 3, LEN(E172)) &amp; "_" &amp; TEXT(F172, "yyyymmdd") &amp; "_" &amp; TEXT(H172, "yyyymmdd")</f>
        <v/>
      </c>
    </row>
    <row r="173">
      <c r="B173" s="38" t="inlineStr">
        <is>
          <t>EE168</t>
        </is>
      </c>
      <c r="C173" s="38" t="inlineStr">
        <is>
          <t>No</t>
        </is>
      </c>
      <c r="D173" s="39" t="inlineStr">
        <is>
          <t>4446319</t>
        </is>
      </c>
      <c r="E173" s="38" t="inlineStr">
        <is>
          <t>LWOP - HCES SU FACILITATION TRAINING</t>
        </is>
      </c>
      <c r="F173" s="40" t="n">
        <v>45431</v>
      </c>
      <c r="G173" s="40" t="n">
        <v>45433</v>
      </c>
      <c r="H173" s="40" t="n">
        <v>45433</v>
      </c>
      <c r="I173" s="41" t="n">
        <v>2</v>
      </c>
      <c r="J173" s="41" t="n">
        <v>2</v>
      </c>
      <c r="K173" s="38" t="inlineStr">
        <is>
          <t>TR 5</t>
        </is>
      </c>
      <c r="L173" s="38" t="inlineStr">
        <is>
          <t>TR 9</t>
        </is>
      </c>
      <c r="M173" s="38" t="inlineStr">
        <is>
          <t>--</t>
        </is>
      </c>
      <c r="N173" s="38" t="inlineStr">
        <is>
          <t>--</t>
        </is>
      </c>
      <c r="O173" s="38" t="inlineStr">
        <is>
          <t>JJH</t>
        </is>
      </c>
      <c r="P173" s="59" t="n"/>
      <c r="Q173" s="62">
        <f>IF(C173="Yes", 1, IF(C173="no", 0, IF(C173= "tardy", SUM(J173/I173),"")))</f>
        <v/>
      </c>
      <c r="R173" s="62">
        <f>LEFT(Train_Log[[#This Row],[COURSE NAME:]],FIND(" - ", Train_Log[[#This Row],[COURSE NAME:]]) -1)</f>
        <v/>
      </c>
      <c r="S173" s="62">
        <f>MID(Train_Log[[#This Row],[COURSE NAME:]],FIND(" - ", Train_Log[[#This Row],[COURSE NAME:]]), 13)</f>
        <v/>
      </c>
      <c r="T173" s="62">
        <f>MID(E173, FIND(" - ", E173) + 3, LEN(E173)) &amp; "_" &amp; TEXT(F173, "yyyymmdd") &amp; "_" &amp; TEXT(H173, "yyyymmdd")</f>
        <v/>
      </c>
    </row>
    <row r="174">
      <c r="B174" s="38" t="inlineStr">
        <is>
          <t>EE97</t>
        </is>
      </c>
      <c r="C174" s="38" t="inlineStr">
        <is>
          <t>No</t>
        </is>
      </c>
      <c r="D174" s="39" t="inlineStr">
        <is>
          <t>6336016</t>
        </is>
      </c>
      <c r="E174" s="38" t="inlineStr">
        <is>
          <t>LWOP - HCES SUPERUSER TRAINING</t>
        </is>
      </c>
      <c r="F174" s="40" t="n">
        <v>45429</v>
      </c>
      <c r="G174" s="40" t="n">
        <v>45433</v>
      </c>
      <c r="H174" s="40" t="n">
        <v>45433</v>
      </c>
      <c r="I174" s="41" t="n">
        <v>8</v>
      </c>
      <c r="J174" s="41" t="n">
        <v>8</v>
      </c>
      <c r="K174" s="38" t="inlineStr">
        <is>
          <t>TR 2</t>
        </is>
      </c>
      <c r="L174" s="38" t="inlineStr">
        <is>
          <t>--</t>
        </is>
      </c>
      <c r="M174" s="38" t="inlineStr">
        <is>
          <t>--</t>
        </is>
      </c>
      <c r="N174" s="38" t="inlineStr">
        <is>
          <t>--</t>
        </is>
      </c>
      <c r="O174" s="38" t="inlineStr">
        <is>
          <t>JJH</t>
        </is>
      </c>
      <c r="P174" s="59" t="n"/>
      <c r="Q174" s="62">
        <f>IF(C174="Yes", 1, IF(C174="no", 0, IF(C174= "tardy", SUM(J174/I174),"")))</f>
        <v/>
      </c>
      <c r="R174" s="62">
        <f>LEFT(Train_Log[[#This Row],[COURSE NAME:]],FIND(" - ", Train_Log[[#This Row],[COURSE NAME:]]) -1)</f>
        <v/>
      </c>
      <c r="S174" s="62">
        <f>MID(Train_Log[[#This Row],[COURSE NAME:]],FIND(" - ", Train_Log[[#This Row],[COURSE NAME:]]), 13)</f>
        <v/>
      </c>
      <c r="T174" s="62">
        <f>MID(E174, FIND(" - ", E174) + 3, LEN(E174)) &amp; "_" &amp; TEXT(F174, "yyyymmdd") &amp; "_" &amp; TEXT(H174, "yyyymmdd")</f>
        <v/>
      </c>
    </row>
    <row r="175">
      <c r="B175" s="38" t="inlineStr">
        <is>
          <t>EE172</t>
        </is>
      </c>
      <c r="C175" s="38" t="inlineStr">
        <is>
          <t>Yes</t>
        </is>
      </c>
      <c r="D175" s="39" t="inlineStr">
        <is>
          <t>6129292</t>
        </is>
      </c>
      <c r="E175" s="38" t="inlineStr">
        <is>
          <t>LWOP - HCES SU FACILITATION TRAINING</t>
        </is>
      </c>
      <c r="F175" s="40" t="n">
        <v>45819</v>
      </c>
      <c r="G175" s="40" t="n">
        <v>45819</v>
      </c>
      <c r="H175" s="40" t="n">
        <v>45819</v>
      </c>
      <c r="I175" s="41" t="n">
        <v>3</v>
      </c>
      <c r="J175" s="41" t="n">
        <v>0</v>
      </c>
      <c r="K175" s="38" t="inlineStr">
        <is>
          <t>TR 3</t>
        </is>
      </c>
      <c r="L175" s="38" t="inlineStr">
        <is>
          <t>TR 4</t>
        </is>
      </c>
      <c r="M175" s="38" t="inlineStr">
        <is>
          <t>--</t>
        </is>
      </c>
      <c r="N175" s="38" t="inlineStr">
        <is>
          <t>--</t>
        </is>
      </c>
      <c r="O175" s="38" t="inlineStr">
        <is>
          <t>JJH</t>
        </is>
      </c>
      <c r="P175" s="59" t="n"/>
      <c r="Q175" s="62">
        <f>IF(C175="Yes", 1, IF(C175="no", 0, IF(C175= "tardy", SUM(J175/I175),"")))</f>
        <v/>
      </c>
      <c r="R175" s="62">
        <f>LEFT(Train_Log[[#This Row],[COURSE NAME:]],FIND(" - ", Train_Log[[#This Row],[COURSE NAME:]]) -1)</f>
        <v/>
      </c>
      <c r="S175" s="62">
        <f>MID(Train_Log[[#This Row],[COURSE NAME:]],FIND(" - ", Train_Log[[#This Row],[COURSE NAME:]]), 13)</f>
        <v/>
      </c>
      <c r="T175" s="62">
        <f>MID(E175, FIND(" - ", E175) + 3, LEN(E175)) &amp; "_" &amp; TEXT(F175, "yyyymmdd") &amp; "_" &amp; TEXT(H175, "yyyymmdd")</f>
        <v/>
      </c>
    </row>
    <row r="176">
      <c r="B176" s="38" t="inlineStr">
        <is>
          <t>EE88</t>
        </is>
      </c>
      <c r="C176" s="38" t="inlineStr">
        <is>
          <t>No</t>
        </is>
      </c>
      <c r="D176" s="39" t="inlineStr">
        <is>
          <t>4717807</t>
        </is>
      </c>
      <c r="E176" s="38" t="inlineStr">
        <is>
          <t>OPTIONAL RETIREMENTS - MAILBUILD</t>
        </is>
      </c>
      <c r="F176" s="40" t="n">
        <v>45495</v>
      </c>
      <c r="G176" s="40" t="n">
        <v>45495</v>
      </c>
      <c r="H176" s="40" t="n">
        <v>45495</v>
      </c>
      <c r="I176" s="41" t="n">
        <v>2</v>
      </c>
      <c r="J176" s="41" t="n">
        <v>2</v>
      </c>
      <c r="K176" s="38" t="inlineStr">
        <is>
          <t>TR 2</t>
        </is>
      </c>
      <c r="L176" s="38" t="inlineStr">
        <is>
          <t>TR 5</t>
        </is>
      </c>
      <c r="M176" s="38" t="inlineStr">
        <is>
          <t>--</t>
        </is>
      </c>
      <c r="N176" s="38" t="inlineStr">
        <is>
          <t>--</t>
        </is>
      </c>
      <c r="O176" s="38" t="inlineStr">
        <is>
          <t>JJH</t>
        </is>
      </c>
      <c r="P176" s="59" t="n"/>
      <c r="Q176" s="62">
        <f>IF(C176="Yes", 1, IF(C176="no", 0, IF(C176= "tardy", SUM(J176/I176),"")))</f>
        <v/>
      </c>
      <c r="R176" s="62">
        <f>LEFT(Train_Log[[#This Row],[COURSE NAME:]],FIND(" - ", Train_Log[[#This Row],[COURSE NAME:]]) -1)</f>
        <v/>
      </c>
      <c r="S176" s="62">
        <f>MID(Train_Log[[#This Row],[COURSE NAME:]],FIND(" - ", Train_Log[[#This Row],[COURSE NAME:]]), 13)</f>
        <v/>
      </c>
      <c r="T176" s="62">
        <f>MID(E176, FIND(" - ", E176) + 3, LEN(E176)) &amp; "_" &amp; TEXT(F176, "yyyymmdd") &amp; "_" &amp; TEXT(H176, "yyyymmdd")</f>
        <v/>
      </c>
    </row>
    <row r="177">
      <c r="B177" s="38" t="inlineStr">
        <is>
          <t>EE26</t>
        </is>
      </c>
      <c r="C177" s="38" t="inlineStr">
        <is>
          <t>No</t>
        </is>
      </c>
      <c r="D177" s="39" t="inlineStr">
        <is>
          <t>6285650</t>
        </is>
      </c>
      <c r="E177" s="38" t="inlineStr">
        <is>
          <t>PHONES - BENEFITS</t>
        </is>
      </c>
      <c r="F177" s="111" t="n">
        <v>45643</v>
      </c>
      <c r="G177" s="40" t="n">
        <v>45645</v>
      </c>
      <c r="H177" s="111" t="n">
        <v>45645</v>
      </c>
      <c r="I177" s="41" t="n">
        <v>4</v>
      </c>
      <c r="J177" s="42" t="n">
        <v>4</v>
      </c>
      <c r="K177" s="38" t="inlineStr">
        <is>
          <t>TR 3</t>
        </is>
      </c>
      <c r="L177" s="38" t="inlineStr">
        <is>
          <t>TR 3</t>
        </is>
      </c>
      <c r="M177" s="38" t="inlineStr">
        <is>
          <t>--</t>
        </is>
      </c>
      <c r="N177" s="38" t="inlineStr">
        <is>
          <t>--</t>
        </is>
      </c>
      <c r="O177" s="38" t="inlineStr">
        <is>
          <t>JJH</t>
        </is>
      </c>
      <c r="Q177" s="62">
        <f>IF(C177="Yes", 1, IF(C177="no", 0, IF(C177= "tardy", SUM(J177/I177),"")))</f>
        <v/>
      </c>
      <c r="R177" s="62">
        <f>LEFT(Train_Log[[#This Row],[COURSE NAME:]],FIND(" - ", Train_Log[[#This Row],[COURSE NAME:]]) -1)</f>
        <v/>
      </c>
      <c r="S177" s="62">
        <f>MID(Train_Log[[#This Row],[COURSE NAME:]],FIND(" - ", Train_Log[[#This Row],[COURSE NAME:]]), 13)</f>
        <v/>
      </c>
      <c r="T177" s="62">
        <f>MID(E177, FIND(" - ", E177) + 3, LEN(E177)) &amp; "_" &amp; TEXT(F177, "yyyymmdd") &amp; "_" &amp; TEXT(H177, "yyyymmdd")</f>
        <v/>
      </c>
    </row>
    <row r="178">
      <c r="B178" s="38" t="inlineStr">
        <is>
          <t>EE47</t>
        </is>
      </c>
      <c r="C178" s="38" t="inlineStr">
        <is>
          <t>No</t>
        </is>
      </c>
      <c r="D178" s="39" t="inlineStr">
        <is>
          <t>6532210</t>
        </is>
      </c>
      <c r="E178" s="38" t="inlineStr">
        <is>
          <t>PHONES - LWOP</t>
        </is>
      </c>
      <c r="F178" s="111" t="n">
        <v>45747</v>
      </c>
      <c r="G178" s="40" t="n">
        <v>45747</v>
      </c>
      <c r="H178" s="111" t="n">
        <v>45747</v>
      </c>
      <c r="I178" s="41" t="n">
        <v>2</v>
      </c>
      <c r="J178" s="42" t="n">
        <v>2</v>
      </c>
      <c r="K178" s="38" t="inlineStr">
        <is>
          <t>TR 8</t>
        </is>
      </c>
      <c r="L178" s="38" t="inlineStr">
        <is>
          <t>TR 10</t>
        </is>
      </c>
      <c r="M178" s="38" t="inlineStr">
        <is>
          <t>--</t>
        </is>
      </c>
      <c r="N178" s="38" t="inlineStr">
        <is>
          <t>--</t>
        </is>
      </c>
      <c r="O178" s="38" t="inlineStr">
        <is>
          <t>JJH</t>
        </is>
      </c>
      <c r="Q178" s="62">
        <f>IF(C178="Yes", 1, IF(C178="no", 0, IF(C178= "tardy", SUM(J178/I178),"")))</f>
        <v/>
      </c>
      <c r="R178" s="62">
        <f>LEFT(Train_Log[[#This Row],[COURSE NAME:]],FIND(" - ", Train_Log[[#This Row],[COURSE NAME:]]) -1)</f>
        <v/>
      </c>
      <c r="S178" s="62">
        <f>MID(Train_Log[[#This Row],[COURSE NAME:]],FIND(" - ", Train_Log[[#This Row],[COURSE NAME:]]), 13)</f>
        <v/>
      </c>
      <c r="T178" s="62">
        <f>MID(E178, FIND(" - ", E178) + 3, LEN(E178)) &amp; "_" &amp; TEXT(F178, "yyyymmdd") &amp; "_" &amp; TEXT(H178, "yyyymmdd")</f>
        <v/>
      </c>
    </row>
    <row r="179">
      <c r="B179" s="38" t="inlineStr">
        <is>
          <t>EE73</t>
        </is>
      </c>
      <c r="C179" s="38" t="inlineStr">
        <is>
          <t>No</t>
        </is>
      </c>
      <c r="D179" s="39" t="inlineStr">
        <is>
          <t>5901740</t>
        </is>
      </c>
      <c r="E179" s="38" t="inlineStr">
        <is>
          <t>OPTIONAL RETIREMENTS - MAILBUILD</t>
        </is>
      </c>
      <c r="F179" s="111" t="n">
        <v>45538</v>
      </c>
      <c r="G179" s="40" t="n">
        <v>45540</v>
      </c>
      <c r="H179" s="111" t="n">
        <v>45540</v>
      </c>
      <c r="I179" s="41" t="n">
        <v>4</v>
      </c>
      <c r="J179" s="42" t="n">
        <v>4</v>
      </c>
      <c r="K179" s="38" t="inlineStr">
        <is>
          <t>TR 4</t>
        </is>
      </c>
      <c r="L179" s="38" t="inlineStr">
        <is>
          <t>TR 6</t>
        </is>
      </c>
      <c r="M179" s="38" t="inlineStr">
        <is>
          <t>--</t>
        </is>
      </c>
      <c r="N179" s="38" t="inlineStr">
        <is>
          <t>--</t>
        </is>
      </c>
      <c r="O179" s="38" t="inlineStr">
        <is>
          <t>JJH</t>
        </is>
      </c>
      <c r="Q179" s="62">
        <f>IF(C179="Yes", 1, IF(C179="no", 0, IF(C179= "tardy", SUM(J179/I179),"")))</f>
        <v/>
      </c>
      <c r="R179" s="62">
        <f>LEFT(Train_Log[[#This Row],[COURSE NAME:]],FIND(" - ", Train_Log[[#This Row],[COURSE NAME:]]) -1)</f>
        <v/>
      </c>
      <c r="S179" s="62">
        <f>MID(Train_Log[[#This Row],[COURSE NAME:]],FIND(" - ", Train_Log[[#This Row],[COURSE NAME:]]), 13)</f>
        <v/>
      </c>
      <c r="T179" s="62">
        <f>MID(E179, FIND(" - ", E179) + 3, LEN(E179)) &amp; "_" &amp; TEXT(F179, "yyyymmdd") &amp; "_" &amp; TEXT(H179, "yyyymmdd")</f>
        <v/>
      </c>
    </row>
    <row r="180">
      <c r="B180" s="38" t="inlineStr">
        <is>
          <t>EE174</t>
        </is>
      </c>
      <c r="C180" s="38" t="inlineStr">
        <is>
          <t>No</t>
        </is>
      </c>
      <c r="D180" s="39" t="inlineStr">
        <is>
          <t>4834293</t>
        </is>
      </c>
      <c r="E180" s="38" t="inlineStr">
        <is>
          <t>OPTIONAL RETIREMENTS - MAILBUILD</t>
        </is>
      </c>
      <c r="F180" s="111" t="n">
        <v>45771</v>
      </c>
      <c r="G180" s="40" t="n">
        <v>45771</v>
      </c>
      <c r="H180" s="111" t="n">
        <v>45771</v>
      </c>
      <c r="I180" s="41" t="n">
        <v>8</v>
      </c>
      <c r="J180" s="42" t="n">
        <v>8</v>
      </c>
      <c r="K180" s="38" t="inlineStr">
        <is>
          <t>TR 9</t>
        </is>
      </c>
      <c r="L180" s="38" t="inlineStr">
        <is>
          <t>TR 7</t>
        </is>
      </c>
      <c r="M180" s="38" t="inlineStr">
        <is>
          <t>--</t>
        </is>
      </c>
      <c r="N180" s="38" t="inlineStr">
        <is>
          <t>--</t>
        </is>
      </c>
      <c r="O180" s="38" t="inlineStr">
        <is>
          <t>JJH</t>
        </is>
      </c>
      <c r="Q180" s="62">
        <f>IF(C180="Yes", 1, IF(C180="no", 0, IF(C180= "tardy", SUM(J180/I180),"")))</f>
        <v/>
      </c>
      <c r="R180" s="62">
        <f>LEFT(Train_Log[[#This Row],[COURSE NAME:]],FIND(" - ", Train_Log[[#This Row],[COURSE NAME:]]) -1)</f>
        <v/>
      </c>
      <c r="S180" s="62">
        <f>MID(Train_Log[[#This Row],[COURSE NAME:]],FIND(" - ", Train_Log[[#This Row],[COURSE NAME:]]), 13)</f>
        <v/>
      </c>
      <c r="T180" s="62">
        <f>MID(E180, FIND(" - ", E180) + 3, LEN(E180)) &amp; "_" &amp; TEXT(F180, "yyyymmdd") &amp; "_" &amp; TEXT(H180, "yyyymmdd")</f>
        <v/>
      </c>
    </row>
    <row r="181">
      <c r="B181" s="38" t="inlineStr">
        <is>
          <t>EE42</t>
        </is>
      </c>
      <c r="C181" s="38" t="inlineStr">
        <is>
          <t>tardy</t>
        </is>
      </c>
      <c r="D181" s="39" t="inlineStr">
        <is>
          <t>4389004</t>
        </is>
      </c>
      <c r="E181" s="38" t="inlineStr">
        <is>
          <t>SUPPORT - TRAINING - PTSP TRAINING</t>
        </is>
      </c>
      <c r="F181" s="111" t="n">
        <v>45440</v>
      </c>
      <c r="G181" s="40" t="n">
        <v>45440</v>
      </c>
      <c r="H181" s="111" t="n">
        <v>45440</v>
      </c>
      <c r="I181" s="41" t="n">
        <v>4</v>
      </c>
      <c r="J181" s="42" t="n">
        <v>3.4</v>
      </c>
      <c r="K181" s="38" t="inlineStr">
        <is>
          <t>TR 9</t>
        </is>
      </c>
      <c r="L181" s="38" t="inlineStr">
        <is>
          <t>TR 2</t>
        </is>
      </c>
      <c r="M181" s="38" t="inlineStr">
        <is>
          <t>--</t>
        </is>
      </c>
      <c r="N181" s="38" t="inlineStr">
        <is>
          <t>--</t>
        </is>
      </c>
      <c r="O181" s="38" t="inlineStr">
        <is>
          <t>JJH</t>
        </is>
      </c>
      <c r="Q181" s="62">
        <f>IF(C181="Yes", 1, IF(C181="no", 0, IF(C181= "tardy", SUM(J181/I181),"")))</f>
        <v/>
      </c>
      <c r="R181" s="62">
        <f>LEFT(Train_Log[[#This Row],[COURSE NAME:]],FIND(" - ", Train_Log[[#This Row],[COURSE NAME:]]) -1)</f>
        <v/>
      </c>
      <c r="S181" s="62">
        <f>MID(Train_Log[[#This Row],[COURSE NAME:]],FIND(" - ", Train_Log[[#This Row],[COURSE NAME:]]), 13)</f>
        <v/>
      </c>
      <c r="T181" s="62">
        <f>MID(E181, FIND(" - ", E181) + 3, LEN(E181)) &amp; "_" &amp; TEXT(F181, "yyyymmdd") &amp; "_" &amp; TEXT(H181, "yyyymmdd")</f>
        <v/>
      </c>
    </row>
    <row r="182">
      <c r="B182" s="38" t="inlineStr">
        <is>
          <t>EE183</t>
        </is>
      </c>
      <c r="C182" s="38" t="inlineStr">
        <is>
          <t>No</t>
        </is>
      </c>
      <c r="D182" s="39" t="inlineStr">
        <is>
          <t>6049360</t>
        </is>
      </c>
      <c r="E182" s="38" t="inlineStr">
        <is>
          <t>PHONES - EMPLOYMENT VERIFICATION</t>
        </is>
      </c>
      <c r="F182" s="111" t="n">
        <v>45590</v>
      </c>
      <c r="G182" s="40" t="n">
        <v>45590</v>
      </c>
      <c r="H182" s="111" t="n">
        <v>45590</v>
      </c>
      <c r="I182" s="41" t="n">
        <v>3</v>
      </c>
      <c r="J182" s="42" t="n">
        <v>3</v>
      </c>
      <c r="K182" s="38" t="inlineStr">
        <is>
          <t>TR 8</t>
        </is>
      </c>
      <c r="L182" s="38" t="inlineStr">
        <is>
          <t>TR 9</t>
        </is>
      </c>
      <c r="M182" s="38" t="inlineStr">
        <is>
          <t>--</t>
        </is>
      </c>
      <c r="N182" s="38" t="inlineStr">
        <is>
          <t>--</t>
        </is>
      </c>
      <c r="O182" s="38" t="inlineStr">
        <is>
          <t>JJH</t>
        </is>
      </c>
      <c r="Q182" s="62">
        <f>IF(C182="Yes", 1, IF(C182="no", 0, IF(C182= "tardy", SUM(J182/I182),"")))</f>
        <v/>
      </c>
      <c r="R182" s="62">
        <f>LEFT(Train_Log[[#This Row],[COURSE NAME:]],FIND(" - ", Train_Log[[#This Row],[COURSE NAME:]]) -1)</f>
        <v/>
      </c>
      <c r="S182" s="62">
        <f>MID(Train_Log[[#This Row],[COURSE NAME:]],FIND(" - ", Train_Log[[#This Row],[COURSE NAME:]]), 13)</f>
        <v/>
      </c>
      <c r="T182" s="62">
        <f>MID(E182, FIND(" - ", E182) + 3, LEN(E182)) &amp; "_" &amp; TEXT(F182, "yyyymmdd") &amp; "_" &amp; TEXT(H182, "yyyymmdd")</f>
        <v/>
      </c>
    </row>
    <row r="183">
      <c r="B183" s="38" t="inlineStr">
        <is>
          <t>EE38</t>
        </is>
      </c>
      <c r="C183" s="38" t="inlineStr">
        <is>
          <t>No</t>
        </is>
      </c>
      <c r="D183" s="39" t="inlineStr">
        <is>
          <t>4652128</t>
        </is>
      </c>
      <c r="E183" s="38" t="inlineStr">
        <is>
          <t>LWOP - HCES SU FACILITATION TRAINING</t>
        </is>
      </c>
      <c r="F183" s="111" t="n">
        <v>45392</v>
      </c>
      <c r="G183" s="40" t="n">
        <v>45392</v>
      </c>
      <c r="H183" s="111" t="n">
        <v>45392</v>
      </c>
      <c r="I183" s="41" t="n">
        <v>3</v>
      </c>
      <c r="J183" s="42" t="n">
        <v>3</v>
      </c>
      <c r="K183" s="38" t="inlineStr">
        <is>
          <t>TR 1</t>
        </is>
      </c>
      <c r="L183" s="38" t="inlineStr">
        <is>
          <t>TR 7</t>
        </is>
      </c>
      <c r="M183" s="38" t="inlineStr">
        <is>
          <t>--</t>
        </is>
      </c>
      <c r="N183" s="38" t="inlineStr">
        <is>
          <t>--</t>
        </is>
      </c>
      <c r="O183" s="38" t="inlineStr">
        <is>
          <t>JJH</t>
        </is>
      </c>
      <c r="Q183" s="62">
        <f>IF(C183="Yes", 1, IF(C183="no", 0, IF(C183= "tardy", SUM(J183/I183),"")))</f>
        <v/>
      </c>
      <c r="R183" s="62">
        <f>LEFT(Train_Log[[#This Row],[COURSE NAME:]],FIND(" - ", Train_Log[[#This Row],[COURSE NAME:]]) -1)</f>
        <v/>
      </c>
      <c r="S183" s="62">
        <f>MID(Train_Log[[#This Row],[COURSE NAME:]],FIND(" - ", Train_Log[[#This Row],[COURSE NAME:]]), 13)</f>
        <v/>
      </c>
      <c r="T183" s="62">
        <f>MID(E183, FIND(" - ", E183) + 3, LEN(E183)) &amp; "_" &amp; TEXT(F183, "yyyymmdd") &amp; "_" &amp; TEXT(H183, "yyyymmdd")</f>
        <v/>
      </c>
    </row>
    <row r="184">
      <c r="B184" s="38" t="inlineStr">
        <is>
          <t>EE14</t>
        </is>
      </c>
      <c r="C184" s="38" t="inlineStr">
        <is>
          <t>No</t>
        </is>
      </c>
      <c r="D184" s="39" t="inlineStr">
        <is>
          <t>4133306</t>
        </is>
      </c>
      <c r="E184" s="38" t="inlineStr">
        <is>
          <t>LWOP - HCES SU FACILITATION TRAINING</t>
        </is>
      </c>
      <c r="F184" s="111" t="n">
        <v>45813</v>
      </c>
      <c r="G184" s="40" t="n">
        <v>45813</v>
      </c>
      <c r="H184" s="111" t="n">
        <v>45813</v>
      </c>
      <c r="I184" s="41" t="n">
        <v>2</v>
      </c>
      <c r="J184" s="42" t="n">
        <v>2</v>
      </c>
      <c r="K184" s="38" t="inlineStr">
        <is>
          <t>TR 6</t>
        </is>
      </c>
      <c r="L184" s="38" t="inlineStr">
        <is>
          <t>TR 4</t>
        </is>
      </c>
      <c r="M184" s="38" t="inlineStr">
        <is>
          <t>--</t>
        </is>
      </c>
      <c r="N184" s="38" t="inlineStr">
        <is>
          <t>--</t>
        </is>
      </c>
      <c r="O184" s="38" t="inlineStr">
        <is>
          <t>JJH</t>
        </is>
      </c>
      <c r="Q184" s="62">
        <f>IF(C184="Yes", 1, IF(C184="no", 0, IF(C184= "tardy", SUM(J184/I184),"")))</f>
        <v/>
      </c>
      <c r="R184" s="62">
        <f>LEFT(Train_Log[[#This Row],[COURSE NAME:]],FIND(" - ", Train_Log[[#This Row],[COURSE NAME:]]) -1)</f>
        <v/>
      </c>
      <c r="S184" s="62">
        <f>MID(Train_Log[[#This Row],[COURSE NAME:]],FIND(" - ", Train_Log[[#This Row],[COURSE NAME:]]), 13)</f>
        <v/>
      </c>
      <c r="T184" s="62">
        <f>MID(E184, FIND(" - ", E184) + 3, LEN(E184)) &amp; "_" &amp; TEXT(F184, "yyyymmdd") &amp; "_" &amp; TEXT(H184, "yyyymmdd")</f>
        <v/>
      </c>
    </row>
    <row r="185">
      <c r="B185" s="38" t="inlineStr">
        <is>
          <t>EE8</t>
        </is>
      </c>
      <c r="C185" s="38" t="inlineStr">
        <is>
          <t>No</t>
        </is>
      </c>
      <c r="D185" s="39" t="inlineStr">
        <is>
          <t>4429895</t>
        </is>
      </c>
      <c r="E185" s="38" t="inlineStr">
        <is>
          <t>LWOP - HCES SUPERUSER TRAINING</t>
        </is>
      </c>
      <c r="F185" s="111" t="n">
        <v>45400</v>
      </c>
      <c r="G185" s="40" t="n">
        <v>45404</v>
      </c>
      <c r="H185" s="111" t="n">
        <v>45404</v>
      </c>
      <c r="I185" s="41" t="n">
        <v>2</v>
      </c>
      <c r="J185" s="42" t="n">
        <v>2</v>
      </c>
      <c r="K185" s="38" t="inlineStr">
        <is>
          <t>TR 3</t>
        </is>
      </c>
      <c r="L185" s="38" t="inlineStr">
        <is>
          <t>TR 1</t>
        </is>
      </c>
      <c r="M185" s="38" t="inlineStr">
        <is>
          <t>--</t>
        </is>
      </c>
      <c r="N185" s="38" t="inlineStr">
        <is>
          <t>--</t>
        </is>
      </c>
      <c r="O185" s="38" t="inlineStr">
        <is>
          <t>JJH</t>
        </is>
      </c>
      <c r="Q185" s="62">
        <f>IF(C185="Yes", 1, IF(C185="no", 0, IF(C185= "tardy", SUM(J185/I185),"")))</f>
        <v/>
      </c>
      <c r="R185" s="62">
        <f>LEFT(Train_Log[[#This Row],[COURSE NAME:]],FIND(" - ", Train_Log[[#This Row],[COURSE NAME:]]) -1)</f>
        <v/>
      </c>
      <c r="S185" s="62">
        <f>MID(Train_Log[[#This Row],[COURSE NAME:]],FIND(" - ", Train_Log[[#This Row],[COURSE NAME:]]), 13)</f>
        <v/>
      </c>
      <c r="T185" s="62">
        <f>MID(E185, FIND(" - ", E185) + 3, LEN(E185)) &amp; "_" &amp; TEXT(F185, "yyyymmdd") &amp; "_" &amp; TEXT(H185, "yyyymmdd")</f>
        <v/>
      </c>
    </row>
    <row r="186">
      <c r="B186" s="38" t="inlineStr">
        <is>
          <t>EE74</t>
        </is>
      </c>
      <c r="C186" s="38" t="inlineStr">
        <is>
          <t>No</t>
        </is>
      </c>
      <c r="D186" s="39" t="inlineStr">
        <is>
          <t>6666253</t>
        </is>
      </c>
      <c r="E186" s="38" t="inlineStr">
        <is>
          <t>OPTIONAL RETIREMENTS - MAILBUILD</t>
        </is>
      </c>
      <c r="F186" s="111" t="n">
        <v>45441</v>
      </c>
      <c r="G186" s="40" t="n">
        <v>45445</v>
      </c>
      <c r="H186" s="111" t="n">
        <v>45445</v>
      </c>
      <c r="I186" s="41" t="n">
        <v>8</v>
      </c>
      <c r="J186" s="42" t="n">
        <v>8</v>
      </c>
      <c r="K186" s="38" t="inlineStr">
        <is>
          <t>TR 1</t>
        </is>
      </c>
      <c r="L186" s="38" t="inlineStr">
        <is>
          <t>TR 2</t>
        </is>
      </c>
      <c r="M186" s="38" t="inlineStr">
        <is>
          <t>--</t>
        </is>
      </c>
      <c r="N186" s="38" t="inlineStr">
        <is>
          <t>--</t>
        </is>
      </c>
      <c r="O186" s="38" t="inlineStr">
        <is>
          <t>JJH</t>
        </is>
      </c>
      <c r="P186" s="59" t="n"/>
      <c r="Q186" s="62">
        <f>IF(C186="Yes", 1, IF(C186="no", 0, IF(C186= "tardy", SUM(J186/I186),"")))</f>
        <v/>
      </c>
      <c r="R186" s="62">
        <f>LEFT(Train_Log[[#This Row],[COURSE NAME:]],FIND(" - ", Train_Log[[#This Row],[COURSE NAME:]]) -1)</f>
        <v/>
      </c>
      <c r="S186" s="62">
        <f>MID(Train_Log[[#This Row],[COURSE NAME:]],FIND(" - ", Train_Log[[#This Row],[COURSE NAME:]]), 13)</f>
        <v/>
      </c>
      <c r="T186" s="62">
        <f>MID(E186, FIND(" - ", E186) + 3, LEN(E186)) &amp; "_" &amp; TEXT(F186, "yyyymmdd") &amp; "_" &amp; TEXT(H186, "yyyymmdd")</f>
        <v/>
      </c>
    </row>
    <row r="187">
      <c r="B187" s="38" t="inlineStr">
        <is>
          <t>EE5</t>
        </is>
      </c>
      <c r="C187" s="38" t="inlineStr">
        <is>
          <t>No</t>
        </is>
      </c>
      <c r="D187" s="39" t="inlineStr">
        <is>
          <t>5027150</t>
        </is>
      </c>
      <c r="E187" s="38" t="inlineStr">
        <is>
          <t>RTR - EFORM SEPARATIONS TRAINING</t>
        </is>
      </c>
      <c r="F187" s="44" t="n">
        <v>45519</v>
      </c>
      <c r="G187" s="40" t="n">
        <v>45519</v>
      </c>
      <c r="H187" s="44" t="n">
        <v>45519</v>
      </c>
      <c r="I187" s="41" t="n">
        <v>8</v>
      </c>
      <c r="J187" s="42" t="n">
        <v>8</v>
      </c>
      <c r="K187" s="38" t="inlineStr">
        <is>
          <t>TR 9</t>
        </is>
      </c>
      <c r="L187" s="38" t="inlineStr">
        <is>
          <t>TR 7</t>
        </is>
      </c>
      <c r="M187" s="38" t="inlineStr">
        <is>
          <t>--</t>
        </is>
      </c>
      <c r="N187" s="38" t="inlineStr">
        <is>
          <t>--</t>
        </is>
      </c>
      <c r="O187" s="38" t="inlineStr">
        <is>
          <t>JJH</t>
        </is>
      </c>
      <c r="Q187" s="62">
        <f>IF(C187="Yes", 1, IF(C187="no", 0, IF(C187= "tardy", SUM(J187/I187),"")))</f>
        <v/>
      </c>
      <c r="R187" s="62">
        <f>LEFT(Train_Log[[#This Row],[COURSE NAME:]],FIND(" - ", Train_Log[[#This Row],[COURSE NAME:]]) -1)</f>
        <v/>
      </c>
      <c r="S187" s="62">
        <f>MID(Train_Log[[#This Row],[COURSE NAME:]],FIND(" - ", Train_Log[[#This Row],[COURSE NAME:]]), 13)</f>
        <v/>
      </c>
      <c r="T187" s="62">
        <f>MID(E187, FIND(" - ", E187) + 3, LEN(E187)) &amp; "_" &amp; TEXT(F187, "yyyymmdd") &amp; "_" &amp; TEXT(H187, "yyyymmdd")</f>
        <v/>
      </c>
    </row>
    <row r="188">
      <c r="B188" s="38" t="inlineStr">
        <is>
          <t>EE29</t>
        </is>
      </c>
      <c r="C188" s="38" t="inlineStr">
        <is>
          <t>No</t>
        </is>
      </c>
      <c r="D188" s="39" t="inlineStr">
        <is>
          <t>5884119</t>
        </is>
      </c>
      <c r="E188" s="38" t="inlineStr">
        <is>
          <t>RTR - EFORM SEPARATIONS TRAINING</t>
        </is>
      </c>
      <c r="F188" s="44" t="n">
        <v>45542</v>
      </c>
      <c r="G188" s="40" t="n">
        <v>45542</v>
      </c>
      <c r="H188" s="44" t="n">
        <v>45542</v>
      </c>
      <c r="I188" s="41" t="n">
        <v>2</v>
      </c>
      <c r="J188" s="42" t="n">
        <v>2</v>
      </c>
      <c r="K188" s="38" t="inlineStr">
        <is>
          <t>TR 7</t>
        </is>
      </c>
      <c r="L188" s="38" t="inlineStr">
        <is>
          <t>--</t>
        </is>
      </c>
      <c r="M188" s="38" t="inlineStr">
        <is>
          <t>--</t>
        </is>
      </c>
      <c r="N188" s="38" t="inlineStr">
        <is>
          <t>--</t>
        </is>
      </c>
      <c r="O188" s="38" t="inlineStr">
        <is>
          <t>JJH</t>
        </is>
      </c>
      <c r="Q188" s="62">
        <f>IF(C188="Yes", 1, IF(C188="no", 0, IF(C188= "tardy", SUM(J188/I188),"")))</f>
        <v/>
      </c>
      <c r="R188" s="62">
        <f>LEFT(Train_Log[[#This Row],[COURSE NAME:]],FIND(" - ", Train_Log[[#This Row],[COURSE NAME:]]) -1)</f>
        <v/>
      </c>
      <c r="S188" s="62">
        <f>MID(Train_Log[[#This Row],[COURSE NAME:]],FIND(" - ", Train_Log[[#This Row],[COURSE NAME:]]), 13)</f>
        <v/>
      </c>
      <c r="T188" s="62">
        <f>MID(E188, FIND(" - ", E188) + 3, LEN(E188)) &amp; "_" &amp; TEXT(F188, "yyyymmdd") &amp; "_" &amp; TEXT(H188, "yyyymmdd")</f>
        <v/>
      </c>
    </row>
    <row r="189">
      <c r="B189" s="38" t="inlineStr">
        <is>
          <t>EE160</t>
        </is>
      </c>
      <c r="C189" s="38" t="inlineStr">
        <is>
          <t>No</t>
        </is>
      </c>
      <c r="D189" s="39" t="inlineStr">
        <is>
          <t>5823537</t>
        </is>
      </c>
      <c r="E189" s="38" t="inlineStr">
        <is>
          <t>OPTIONAL RETIREMENTS - MAILBUILD</t>
        </is>
      </c>
      <c r="F189" s="44" t="n">
        <v>45363</v>
      </c>
      <c r="G189" s="40" t="n">
        <v>45363</v>
      </c>
      <c r="H189" s="44" t="n">
        <v>45363</v>
      </c>
      <c r="I189" s="41" t="n">
        <v>4</v>
      </c>
      <c r="J189" s="42" t="n">
        <v>4</v>
      </c>
      <c r="K189" s="38" t="inlineStr">
        <is>
          <t>TR 10</t>
        </is>
      </c>
      <c r="L189" s="38" t="inlineStr">
        <is>
          <t>TR 9</t>
        </is>
      </c>
      <c r="M189" s="38" t="inlineStr">
        <is>
          <t>--</t>
        </is>
      </c>
      <c r="N189" s="38" t="inlineStr">
        <is>
          <t>--</t>
        </is>
      </c>
      <c r="O189" s="38" t="inlineStr">
        <is>
          <t>JJH</t>
        </is>
      </c>
      <c r="Q189" s="62">
        <f>IF(C189="Yes", 1, IF(C189="no", 0, IF(C189= "tardy", SUM(J189/I189),"")))</f>
        <v/>
      </c>
      <c r="R189" s="62">
        <f>LEFT(Train_Log[[#This Row],[COURSE NAME:]],FIND(" - ", Train_Log[[#This Row],[COURSE NAME:]]) -1)</f>
        <v/>
      </c>
      <c r="S189" s="62">
        <f>MID(Train_Log[[#This Row],[COURSE NAME:]],FIND(" - ", Train_Log[[#This Row],[COURSE NAME:]]), 13)</f>
        <v/>
      </c>
      <c r="T189" s="62">
        <f>MID(E189, FIND(" - ", E189) + 3, LEN(E189)) &amp; "_" &amp; TEXT(F189, "yyyymmdd") &amp; "_" &amp; TEXT(H189, "yyyymmdd")</f>
        <v/>
      </c>
    </row>
    <row r="190">
      <c r="B190" s="38" t="inlineStr">
        <is>
          <t>EE5</t>
        </is>
      </c>
      <c r="C190" s="38" t="inlineStr">
        <is>
          <t>No</t>
        </is>
      </c>
      <c r="D190" s="39" t="inlineStr">
        <is>
          <t>5027150</t>
        </is>
      </c>
      <c r="E190" s="38" t="inlineStr">
        <is>
          <t>SUPPORT - TRAINING - PTSP TRAINING</t>
        </is>
      </c>
      <c r="F190" s="44" t="n">
        <v>45446</v>
      </c>
      <c r="G190" s="40" t="n">
        <v>45446</v>
      </c>
      <c r="H190" s="44" t="n">
        <v>45446</v>
      </c>
      <c r="I190" s="41" t="n">
        <v>8</v>
      </c>
      <c r="J190" s="42" t="n">
        <v>8</v>
      </c>
      <c r="K190" s="38" t="inlineStr">
        <is>
          <t>TR 6</t>
        </is>
      </c>
      <c r="L190" s="38" t="inlineStr">
        <is>
          <t>TR 4</t>
        </is>
      </c>
      <c r="M190" s="38" t="inlineStr">
        <is>
          <t>--</t>
        </is>
      </c>
      <c r="N190" s="38" t="inlineStr">
        <is>
          <t>--</t>
        </is>
      </c>
      <c r="O190" s="38" t="inlineStr">
        <is>
          <t>JJH</t>
        </is>
      </c>
      <c r="Q190" s="62">
        <f>IF(C190="Yes", 1, IF(C190="no", 0, IF(C190= "tardy", SUM(J190/I190),"")))</f>
        <v/>
      </c>
      <c r="R190" s="62">
        <f>LEFT(Train_Log[[#This Row],[COURSE NAME:]],FIND(" - ", Train_Log[[#This Row],[COURSE NAME:]]) -1)</f>
        <v/>
      </c>
      <c r="S190" s="62">
        <f>MID(Train_Log[[#This Row],[COURSE NAME:]],FIND(" - ", Train_Log[[#This Row],[COURSE NAME:]]), 13)</f>
        <v/>
      </c>
      <c r="T190" s="62">
        <f>MID(E190, FIND(" - ", E190) + 3, LEN(E190)) &amp; "_" &amp; TEXT(F190, "yyyymmdd") &amp; "_" &amp; TEXT(H190, "yyyymmdd")</f>
        <v/>
      </c>
    </row>
    <row r="191">
      <c r="B191" s="38" t="inlineStr">
        <is>
          <t>EE147</t>
        </is>
      </c>
      <c r="C191" s="38" t="inlineStr">
        <is>
          <t>No</t>
        </is>
      </c>
      <c r="D191" s="39" t="inlineStr">
        <is>
          <t>6219266</t>
        </is>
      </c>
      <c r="E191" s="38" t="inlineStr">
        <is>
          <t>LWOP - HCES SU FACILITATION TRAINING</t>
        </is>
      </c>
      <c r="F191" s="44" t="n">
        <v>45490</v>
      </c>
      <c r="G191" s="40" t="n">
        <v>45494</v>
      </c>
      <c r="H191" s="44" t="n">
        <v>45494</v>
      </c>
      <c r="I191" s="41" t="n">
        <v>8</v>
      </c>
      <c r="J191" s="42" t="n">
        <v>8</v>
      </c>
      <c r="K191" s="38" t="inlineStr">
        <is>
          <t>TR 6</t>
        </is>
      </c>
      <c r="L191" s="38" t="inlineStr">
        <is>
          <t>TR 2</t>
        </is>
      </c>
      <c r="M191" s="38" t="inlineStr">
        <is>
          <t>--</t>
        </is>
      </c>
      <c r="N191" s="38" t="inlineStr">
        <is>
          <t>--</t>
        </is>
      </c>
      <c r="O191" s="38" t="inlineStr">
        <is>
          <t>JJH</t>
        </is>
      </c>
      <c r="Q191" s="62">
        <f>IF(C191="Yes", 1, IF(C191="no", 0, IF(C191= "tardy", SUM(J191/I191),"")))</f>
        <v/>
      </c>
      <c r="R191" s="62">
        <f>LEFT(Train_Log[[#This Row],[COURSE NAME:]],FIND(" - ", Train_Log[[#This Row],[COURSE NAME:]]) -1)</f>
        <v/>
      </c>
      <c r="S191" s="62">
        <f>MID(Train_Log[[#This Row],[COURSE NAME:]],FIND(" - ", Train_Log[[#This Row],[COURSE NAME:]]), 13)</f>
        <v/>
      </c>
      <c r="T191" s="62">
        <f>MID(E191, FIND(" - ", E191) + 3, LEN(E191)) &amp; "_" &amp; TEXT(F191, "yyyymmdd") &amp; "_" &amp; TEXT(H191, "yyyymmdd")</f>
        <v/>
      </c>
    </row>
    <row r="192">
      <c r="B192" s="38" t="inlineStr">
        <is>
          <t>EE135</t>
        </is>
      </c>
      <c r="C192" s="38" t="inlineStr">
        <is>
          <t>tardy</t>
        </is>
      </c>
      <c r="D192" s="39" t="inlineStr">
        <is>
          <t>4459901</t>
        </is>
      </c>
      <c r="E192" s="38" t="inlineStr">
        <is>
          <t>PHONES - BENEFITS</t>
        </is>
      </c>
      <c r="F192" s="44" t="n">
        <v>45698</v>
      </c>
      <c r="G192" s="40" t="n">
        <v>45699</v>
      </c>
      <c r="H192" s="44" t="n">
        <v>45699</v>
      </c>
      <c r="I192" s="41" t="n">
        <v>4</v>
      </c>
      <c r="J192" s="42" t="n">
        <v>3.57</v>
      </c>
      <c r="K192" s="38" t="inlineStr">
        <is>
          <t>TR 5</t>
        </is>
      </c>
      <c r="L192" s="38" t="inlineStr">
        <is>
          <t>TR 1</t>
        </is>
      </c>
      <c r="M192" s="38" t="inlineStr">
        <is>
          <t>--</t>
        </is>
      </c>
      <c r="N192" s="38" t="inlineStr">
        <is>
          <t>--</t>
        </is>
      </c>
      <c r="O192" s="38" t="inlineStr">
        <is>
          <t>JJH</t>
        </is>
      </c>
      <c r="Q192" s="62">
        <f>IF(C192="Yes", 1, IF(C192="no", 0, IF(C192= "tardy", SUM(J192/I192),"")))</f>
        <v/>
      </c>
      <c r="R192" s="62">
        <f>LEFT(Train_Log[[#This Row],[COURSE NAME:]],FIND(" - ", Train_Log[[#This Row],[COURSE NAME:]]) -1)</f>
        <v/>
      </c>
      <c r="S192" s="62">
        <f>MID(Train_Log[[#This Row],[COURSE NAME:]],FIND(" - ", Train_Log[[#This Row],[COURSE NAME:]]), 13)</f>
        <v/>
      </c>
      <c r="T192" s="62">
        <f>MID(E192, FIND(" - ", E192) + 3, LEN(E192)) &amp; "_" &amp; TEXT(F192, "yyyymmdd") &amp; "_" &amp; TEXT(H192, "yyyymmdd")</f>
        <v/>
      </c>
    </row>
    <row r="193">
      <c r="B193" s="38" t="inlineStr">
        <is>
          <t>EE92</t>
        </is>
      </c>
      <c r="C193" s="38" t="inlineStr">
        <is>
          <t>No</t>
        </is>
      </c>
      <c r="D193" s="39" t="inlineStr">
        <is>
          <t>5938859</t>
        </is>
      </c>
      <c r="E193" s="38" t="inlineStr">
        <is>
          <t>PHONES - EMPLOYMENT VERIFICATION</t>
        </is>
      </c>
      <c r="F193" s="44" t="n">
        <v>45652</v>
      </c>
      <c r="G193" s="40" t="n">
        <v>45652</v>
      </c>
      <c r="H193" s="44" t="n">
        <v>45652</v>
      </c>
      <c r="I193" s="41" t="n">
        <v>2</v>
      </c>
      <c r="J193" s="42" t="n">
        <v>2</v>
      </c>
      <c r="K193" s="38" t="inlineStr">
        <is>
          <t>TR 10</t>
        </is>
      </c>
      <c r="L193" s="38" t="inlineStr">
        <is>
          <t>TR 6</t>
        </is>
      </c>
      <c r="M193" s="38" t="inlineStr">
        <is>
          <t>--</t>
        </is>
      </c>
      <c r="N193" s="38" t="inlineStr">
        <is>
          <t>--</t>
        </is>
      </c>
      <c r="O193" s="38" t="inlineStr">
        <is>
          <t>JJH</t>
        </is>
      </c>
      <c r="Q193" s="62">
        <f>IF(C193="Yes", 1, IF(C193="no", 0, IF(C193= "tardy", SUM(J193/I193),"")))</f>
        <v/>
      </c>
      <c r="R193" s="62">
        <f>LEFT(Train_Log[[#This Row],[COURSE NAME:]],FIND(" - ", Train_Log[[#This Row],[COURSE NAME:]]) -1)</f>
        <v/>
      </c>
      <c r="S193" s="62">
        <f>MID(Train_Log[[#This Row],[COURSE NAME:]],FIND(" - ", Train_Log[[#This Row],[COURSE NAME:]]), 13)</f>
        <v/>
      </c>
      <c r="T193" s="62">
        <f>MID(E193, FIND(" - ", E193) + 3, LEN(E193)) &amp; "_" &amp; TEXT(F193, "yyyymmdd") &amp; "_" &amp; TEXT(H193, "yyyymmdd")</f>
        <v/>
      </c>
    </row>
    <row r="194">
      <c r="B194" s="38" t="inlineStr">
        <is>
          <t>EE35</t>
        </is>
      </c>
      <c r="C194" s="38" t="inlineStr">
        <is>
          <t>No</t>
        </is>
      </c>
      <c r="D194" s="39" t="inlineStr">
        <is>
          <t>5772573</t>
        </is>
      </c>
      <c r="E194" s="38" t="inlineStr">
        <is>
          <t>PHONES - BENEFITS</t>
        </is>
      </c>
      <c r="F194" s="44" t="n">
        <v>45659</v>
      </c>
      <c r="G194" s="40" t="n">
        <v>45661</v>
      </c>
      <c r="H194" s="44" t="n">
        <v>45661</v>
      </c>
      <c r="I194" s="41" t="n">
        <v>2</v>
      </c>
      <c r="J194" s="42" t="n">
        <v>2</v>
      </c>
      <c r="K194" s="38" t="inlineStr">
        <is>
          <t>TR 8</t>
        </is>
      </c>
      <c r="L194" s="38" t="inlineStr">
        <is>
          <t>TR 8</t>
        </is>
      </c>
      <c r="M194" s="38" t="inlineStr">
        <is>
          <t>--</t>
        </is>
      </c>
      <c r="N194" s="38" t="inlineStr">
        <is>
          <t>--</t>
        </is>
      </c>
      <c r="O194" s="38" t="inlineStr">
        <is>
          <t>JJH</t>
        </is>
      </c>
      <c r="Q194" s="62">
        <f>IF(C194="Yes", 1, IF(C194="no", 0, IF(C194= "tardy", SUM(J194/I194),"")))</f>
        <v/>
      </c>
      <c r="R194" s="62">
        <f>LEFT(Train_Log[[#This Row],[COURSE NAME:]],FIND(" - ", Train_Log[[#This Row],[COURSE NAME:]]) -1)</f>
        <v/>
      </c>
      <c r="S194" s="62">
        <f>MID(Train_Log[[#This Row],[COURSE NAME:]],FIND(" - ", Train_Log[[#This Row],[COURSE NAME:]]), 13)</f>
        <v/>
      </c>
      <c r="T194" s="62">
        <f>MID(E194, FIND(" - ", E194) + 3, LEN(E194)) &amp; "_" &amp; TEXT(F194, "yyyymmdd") &amp; "_" &amp; TEXT(H194, "yyyymmdd")</f>
        <v/>
      </c>
    </row>
    <row r="195">
      <c r="B195" s="38" t="inlineStr">
        <is>
          <t>EE162</t>
        </is>
      </c>
      <c r="C195" s="38" t="inlineStr">
        <is>
          <t>No</t>
        </is>
      </c>
      <c r="D195" s="39" t="inlineStr">
        <is>
          <t>5903055</t>
        </is>
      </c>
      <c r="E195" s="38" t="inlineStr">
        <is>
          <t>PHONES - LWOP</t>
        </is>
      </c>
      <c r="F195" s="44" t="n">
        <v>45437</v>
      </c>
      <c r="G195" s="40" t="n">
        <v>45437</v>
      </c>
      <c r="H195" s="44" t="n">
        <v>45437</v>
      </c>
      <c r="I195" s="41" t="n">
        <v>4</v>
      </c>
      <c r="J195" s="42" t="n">
        <v>4</v>
      </c>
      <c r="K195" s="38" t="inlineStr">
        <is>
          <t>TR 1</t>
        </is>
      </c>
      <c r="L195" s="38" t="inlineStr">
        <is>
          <t>TR 5</t>
        </is>
      </c>
      <c r="M195" s="38" t="inlineStr">
        <is>
          <t>--</t>
        </is>
      </c>
      <c r="N195" s="38" t="inlineStr">
        <is>
          <t>--</t>
        </is>
      </c>
      <c r="O195" s="38" t="inlineStr">
        <is>
          <t>JJH</t>
        </is>
      </c>
      <c r="Q195" s="62">
        <f>IF(C195="Yes", 1, IF(C195="no", 0, IF(C195= "tardy", SUM(J195/I195),"")))</f>
        <v/>
      </c>
      <c r="R195" s="62">
        <f>LEFT(Train_Log[[#This Row],[COURSE NAME:]],FIND(" - ", Train_Log[[#This Row],[COURSE NAME:]]) -1)</f>
        <v/>
      </c>
      <c r="S195" s="62">
        <f>MID(Train_Log[[#This Row],[COURSE NAME:]],FIND(" - ", Train_Log[[#This Row],[COURSE NAME:]]), 13)</f>
        <v/>
      </c>
      <c r="T195" s="62">
        <f>MID(E195, FIND(" - ", E195) + 3, LEN(E195)) &amp; "_" &amp; TEXT(F195, "yyyymmdd") &amp; "_" &amp; TEXT(H195, "yyyymmdd")</f>
        <v/>
      </c>
    </row>
    <row r="196">
      <c r="B196" s="38" t="inlineStr">
        <is>
          <t>EE52</t>
        </is>
      </c>
      <c r="C196" s="38" t="inlineStr">
        <is>
          <t>No</t>
        </is>
      </c>
      <c r="D196" s="39" t="inlineStr">
        <is>
          <t>4523558</t>
        </is>
      </c>
      <c r="E196" s="38" t="inlineStr">
        <is>
          <t>PHONES - BENEFITS</t>
        </is>
      </c>
      <c r="F196" s="44" t="n">
        <v>45503</v>
      </c>
      <c r="G196" s="40" t="n">
        <v>45503</v>
      </c>
      <c r="H196" s="44" t="n">
        <v>45503</v>
      </c>
      <c r="I196" s="41" t="n">
        <v>3</v>
      </c>
      <c r="J196" s="42" t="n">
        <v>3</v>
      </c>
      <c r="K196" s="38" t="inlineStr">
        <is>
          <t>TR 9</t>
        </is>
      </c>
      <c r="L196" s="38" t="inlineStr">
        <is>
          <t>TR 7</t>
        </is>
      </c>
      <c r="M196" s="38" t="inlineStr">
        <is>
          <t>--</t>
        </is>
      </c>
      <c r="N196" s="38" t="inlineStr">
        <is>
          <t>--</t>
        </is>
      </c>
      <c r="O196" s="38" t="inlineStr">
        <is>
          <t>JJH</t>
        </is>
      </c>
      <c r="Q196" s="62">
        <f>IF(C196="Yes", 1, IF(C196="no", 0, IF(C196= "tardy", SUM(J196/I196),"")))</f>
        <v/>
      </c>
      <c r="R196" s="62">
        <f>LEFT(Train_Log[[#This Row],[COURSE NAME:]],FIND(" - ", Train_Log[[#This Row],[COURSE NAME:]]) -1)</f>
        <v/>
      </c>
      <c r="S196" s="62">
        <f>MID(Train_Log[[#This Row],[COURSE NAME:]],FIND(" - ", Train_Log[[#This Row],[COURSE NAME:]]), 13)</f>
        <v/>
      </c>
      <c r="T196" s="62">
        <f>MID(E196, FIND(" - ", E196) + 3, LEN(E196)) &amp; "_" &amp; TEXT(F196, "yyyymmdd") &amp; "_" &amp; TEXT(H196, "yyyymmdd")</f>
        <v/>
      </c>
    </row>
    <row r="197">
      <c r="B197" s="38" t="inlineStr">
        <is>
          <t>EE140</t>
        </is>
      </c>
      <c r="C197" s="38" t="inlineStr">
        <is>
          <t>No</t>
        </is>
      </c>
      <c r="D197" s="39" t="inlineStr">
        <is>
          <t>5770667</t>
        </is>
      </c>
      <c r="E197" s="38" t="inlineStr">
        <is>
          <t>OPTIONAL RETIREMENTS - MAILBUILD</t>
        </is>
      </c>
      <c r="F197" s="44" t="n">
        <v>45558</v>
      </c>
      <c r="G197" s="40" t="n">
        <v>45558</v>
      </c>
      <c r="H197" s="44" t="n">
        <v>45558</v>
      </c>
      <c r="I197" s="41" t="n">
        <v>2</v>
      </c>
      <c r="J197" s="42" t="n">
        <v>2</v>
      </c>
      <c r="K197" s="38" t="inlineStr">
        <is>
          <t>TR 5</t>
        </is>
      </c>
      <c r="L197" s="38" t="inlineStr">
        <is>
          <t>TR 6</t>
        </is>
      </c>
      <c r="M197" s="38" t="inlineStr">
        <is>
          <t>--</t>
        </is>
      </c>
      <c r="N197" s="38" t="inlineStr">
        <is>
          <t>--</t>
        </is>
      </c>
      <c r="O197" s="38" t="inlineStr">
        <is>
          <t>JJH</t>
        </is>
      </c>
      <c r="Q197" s="62">
        <f>IF(C197="Yes", 1, IF(C197="no", 0, IF(C197= "tardy", SUM(J197/I197),"")))</f>
        <v/>
      </c>
      <c r="R197" s="62">
        <f>LEFT(Train_Log[[#This Row],[COURSE NAME:]],FIND(" - ", Train_Log[[#This Row],[COURSE NAME:]]) -1)</f>
        <v/>
      </c>
      <c r="S197" s="62">
        <f>MID(Train_Log[[#This Row],[COURSE NAME:]],FIND(" - ", Train_Log[[#This Row],[COURSE NAME:]]), 13)</f>
        <v/>
      </c>
      <c r="T197" s="62">
        <f>MID(E197, FIND(" - ", E197) + 3, LEN(E197)) &amp; "_" &amp; TEXT(F197, "yyyymmdd") &amp; "_" &amp; TEXT(H197, "yyyymmdd")</f>
        <v/>
      </c>
    </row>
    <row r="198">
      <c r="B198" s="38" t="inlineStr">
        <is>
          <t>EE13</t>
        </is>
      </c>
      <c r="C198" s="38" t="inlineStr">
        <is>
          <t>No</t>
        </is>
      </c>
      <c r="D198" s="39" t="inlineStr">
        <is>
          <t>5769668</t>
        </is>
      </c>
      <c r="E198" s="38" t="inlineStr">
        <is>
          <t>LWOP - HCES SUPERUSER TRAINING</t>
        </is>
      </c>
      <c r="F198" s="44" t="n">
        <v>45578</v>
      </c>
      <c r="G198" s="40" t="n">
        <v>45578</v>
      </c>
      <c r="H198" s="44" t="n">
        <v>45578</v>
      </c>
      <c r="I198" s="41" t="n">
        <v>4</v>
      </c>
      <c r="J198" s="42" t="n">
        <v>4</v>
      </c>
      <c r="K198" s="38" t="inlineStr">
        <is>
          <t>TR 7</t>
        </is>
      </c>
      <c r="L198" s="38" t="inlineStr">
        <is>
          <t>TR 8</t>
        </is>
      </c>
      <c r="M198" s="38" t="inlineStr">
        <is>
          <t>--</t>
        </is>
      </c>
      <c r="N198" s="38" t="inlineStr">
        <is>
          <t>--</t>
        </is>
      </c>
      <c r="O198" s="38" t="inlineStr">
        <is>
          <t>JJH</t>
        </is>
      </c>
      <c r="Q198" s="62">
        <f>IF(C198="Yes", 1, IF(C198="no", 0, IF(C198= "tardy", SUM(J198/I198),"")))</f>
        <v/>
      </c>
      <c r="R198" s="62">
        <f>LEFT(Train_Log[[#This Row],[COURSE NAME:]],FIND(" - ", Train_Log[[#This Row],[COURSE NAME:]]) -1)</f>
        <v/>
      </c>
      <c r="S198" s="62">
        <f>MID(Train_Log[[#This Row],[COURSE NAME:]],FIND(" - ", Train_Log[[#This Row],[COURSE NAME:]]), 13)</f>
        <v/>
      </c>
      <c r="T198" s="62">
        <f>MID(E198, FIND(" - ", E198) + 3, LEN(E198)) &amp; "_" &amp; TEXT(F198, "yyyymmdd") &amp; "_" &amp; TEXT(H198, "yyyymmdd")</f>
        <v/>
      </c>
    </row>
    <row r="199">
      <c r="B199" s="38" t="inlineStr">
        <is>
          <t>EE99</t>
        </is>
      </c>
      <c r="C199" s="38" t="inlineStr">
        <is>
          <t>No</t>
        </is>
      </c>
      <c r="D199" t="inlineStr">
        <is>
          <t>6871480</t>
        </is>
      </c>
      <c r="E199" s="38" t="inlineStr">
        <is>
          <t>LWOP - HCES SUPERUSER TRAINING</t>
        </is>
      </c>
      <c r="F199" s="40" t="n">
        <v>45490</v>
      </c>
      <c r="G199" s="40" t="n">
        <v>45491</v>
      </c>
      <c r="H199" s="40" t="n">
        <v>45491</v>
      </c>
      <c r="I199" s="41" t="n">
        <v>3</v>
      </c>
      <c r="J199" s="41" t="n">
        <v>3</v>
      </c>
      <c r="K199" s="38" t="inlineStr">
        <is>
          <t>TR 9</t>
        </is>
      </c>
      <c r="L199" s="38" t="inlineStr">
        <is>
          <t>TR 5</t>
        </is>
      </c>
      <c r="M199" s="38" t="inlineStr">
        <is>
          <t>--</t>
        </is>
      </c>
      <c r="N199" s="38" t="inlineStr">
        <is>
          <t>--</t>
        </is>
      </c>
      <c r="O199" s="38" t="inlineStr">
        <is>
          <t>JJH</t>
        </is>
      </c>
      <c r="Q199" s="62">
        <f>IF(C199="Yes", 1, IF(C199="no", 0, IF(C199= "tardy", SUM(J199/I199),"")))</f>
        <v/>
      </c>
      <c r="R199" s="62">
        <f>LEFT(Train_Log[[#This Row],[COURSE NAME:]],FIND(" - ", Train_Log[[#This Row],[COURSE NAME:]]) -1)</f>
        <v/>
      </c>
      <c r="S199" s="62">
        <f>MID(Train_Log[[#This Row],[COURSE NAME:]],FIND(" - ", Train_Log[[#This Row],[COURSE NAME:]]), 13)</f>
        <v/>
      </c>
      <c r="T199" s="62">
        <f>MID(E199, FIND(" - ", E199) + 3, LEN(E199)) &amp; "_" &amp; TEXT(F199, "yyyymmdd") &amp; "_" &amp; TEXT(H199, "yyyymmdd")</f>
        <v/>
      </c>
    </row>
    <row r="200">
      <c r="B200" s="38" t="inlineStr">
        <is>
          <t>EE22</t>
        </is>
      </c>
      <c r="C200" s="38" t="inlineStr">
        <is>
          <t>No</t>
        </is>
      </c>
      <c r="D200" t="inlineStr">
        <is>
          <t>6354032</t>
        </is>
      </c>
      <c r="E200" s="38" t="inlineStr">
        <is>
          <t>LWOP - HCES SU FACILITATION TRAINING</t>
        </is>
      </c>
      <c r="F200" s="40" t="n">
        <v>45379</v>
      </c>
      <c r="G200" s="40" t="n">
        <v>45380</v>
      </c>
      <c r="H200" s="40" t="n">
        <v>45380</v>
      </c>
      <c r="I200" s="41" t="n">
        <v>2</v>
      </c>
      <c r="J200" s="41" t="n">
        <v>2</v>
      </c>
      <c r="K200" s="38" t="inlineStr">
        <is>
          <t>TR 9</t>
        </is>
      </c>
      <c r="L200" s="38" t="inlineStr">
        <is>
          <t>TR 5</t>
        </is>
      </c>
      <c r="M200" s="38" t="inlineStr">
        <is>
          <t>--</t>
        </is>
      </c>
      <c r="N200" s="38" t="inlineStr">
        <is>
          <t>--</t>
        </is>
      </c>
      <c r="O200" s="38" t="inlineStr">
        <is>
          <t>JJH</t>
        </is>
      </c>
      <c r="P200" s="50" t="n"/>
      <c r="Q200" s="62">
        <f>IF(C200="Yes", 1, IF(C200="no", 0, IF(C200= "tardy", SUM(J200/I200),"")))</f>
        <v/>
      </c>
      <c r="R200" s="62">
        <f>LEFT(Train_Log[[#This Row],[COURSE NAME:]],FIND(" - ", Train_Log[[#This Row],[COURSE NAME:]]) -1)</f>
        <v/>
      </c>
      <c r="S200" s="62">
        <f>MID(Train_Log[[#This Row],[COURSE NAME:]],FIND(" - ", Train_Log[[#This Row],[COURSE NAME:]]), 13)</f>
        <v/>
      </c>
      <c r="T200" s="62">
        <f>MID(E200, FIND(" - ", E200) + 3, LEN(E200)) &amp; "_" &amp; TEXT(F200, "yyyymmdd") &amp; "_" &amp; TEXT(H200, "yyyymmdd")</f>
        <v/>
      </c>
    </row>
    <row r="201">
      <c r="B201" s="38" t="inlineStr">
        <is>
          <t>EE83</t>
        </is>
      </c>
      <c r="C201" s="38" t="inlineStr">
        <is>
          <t>No</t>
        </is>
      </c>
      <c r="D201" s="39" t="inlineStr">
        <is>
          <t>6867006</t>
        </is>
      </c>
      <c r="E201" s="38" t="inlineStr">
        <is>
          <t>PHONES - EMPLOYMENT VERIFICATION</t>
        </is>
      </c>
      <c r="F201" s="40" t="n">
        <v>45380</v>
      </c>
      <c r="G201" s="40" t="n">
        <v>45380</v>
      </c>
      <c r="H201" s="40" t="n">
        <v>45380</v>
      </c>
      <c r="I201" s="41" t="n">
        <v>3</v>
      </c>
      <c r="J201" s="41" t="n">
        <v>3</v>
      </c>
      <c r="K201" s="38" t="inlineStr">
        <is>
          <t>TR 8</t>
        </is>
      </c>
      <c r="L201" s="38" t="inlineStr">
        <is>
          <t>TR 10</t>
        </is>
      </c>
      <c r="M201" s="38" t="inlineStr">
        <is>
          <t>--</t>
        </is>
      </c>
      <c r="N201" s="38" t="inlineStr">
        <is>
          <t>--</t>
        </is>
      </c>
      <c r="O201" s="38" t="inlineStr">
        <is>
          <t>JJH</t>
        </is>
      </c>
      <c r="P201" s="44" t="n"/>
      <c r="Q201" s="62">
        <f>IF(C201="Yes", 1, IF(C201="no", 0, IF(C201= "tardy", SUM(J201/I201),"")))</f>
        <v/>
      </c>
      <c r="R201" s="62">
        <f>LEFT(Train_Log[[#This Row],[COURSE NAME:]],FIND(" - ", Train_Log[[#This Row],[COURSE NAME:]]) -1)</f>
        <v/>
      </c>
      <c r="S201" s="62">
        <f>MID(Train_Log[[#This Row],[COURSE NAME:]],FIND(" - ", Train_Log[[#This Row],[COURSE NAME:]]), 13)</f>
        <v/>
      </c>
      <c r="T201" s="62">
        <f>MID(E201, FIND(" - ", E201) + 3, LEN(E201)) &amp; "_" &amp; TEXT(F201, "yyyymmdd") &amp; "_" &amp; TEXT(H201, "yyyymmdd")</f>
        <v/>
      </c>
    </row>
    <row r="202">
      <c r="B202" s="38" t="inlineStr">
        <is>
          <t>EE184</t>
        </is>
      </c>
      <c r="C202" s="38" t="inlineStr">
        <is>
          <t>No</t>
        </is>
      </c>
      <c r="D202" s="39" t="inlineStr">
        <is>
          <t>4081691</t>
        </is>
      </c>
      <c r="E202" s="38" t="inlineStr">
        <is>
          <t>LWOP - HCES SU FACILITATION TRAINING</t>
        </is>
      </c>
      <c r="F202" s="40" t="n">
        <v>45469</v>
      </c>
      <c r="G202" s="40" t="n">
        <v>45473</v>
      </c>
      <c r="H202" s="40" t="n">
        <v>45473</v>
      </c>
      <c r="I202" s="41" t="n">
        <v>4</v>
      </c>
      <c r="J202" s="41" t="n">
        <v>4</v>
      </c>
      <c r="K202" s="38" t="inlineStr">
        <is>
          <t>TR 1</t>
        </is>
      </c>
      <c r="L202" s="38" t="inlineStr">
        <is>
          <t>TR 6</t>
        </is>
      </c>
      <c r="M202" s="38" t="inlineStr">
        <is>
          <t>--</t>
        </is>
      </c>
      <c r="N202" s="38" t="inlineStr">
        <is>
          <t>--</t>
        </is>
      </c>
      <c r="O202" s="38" t="inlineStr">
        <is>
          <t>JJH</t>
        </is>
      </c>
      <c r="P202" s="44" t="n"/>
      <c r="Q202" s="62">
        <f>IF(C202="Yes", 1, IF(C202="no", 0, IF(C202= "tardy", SUM(J202/I202),"")))</f>
        <v/>
      </c>
      <c r="R202" s="62">
        <f>LEFT(Train_Log[[#This Row],[COURSE NAME:]],FIND(" - ", Train_Log[[#This Row],[COURSE NAME:]]) -1)</f>
        <v/>
      </c>
      <c r="S202" s="62">
        <f>MID(Train_Log[[#This Row],[COURSE NAME:]],FIND(" - ", Train_Log[[#This Row],[COURSE NAME:]]), 13)</f>
        <v/>
      </c>
      <c r="T202" s="62">
        <f>MID(E202, FIND(" - ", E202) + 3, LEN(E202)) &amp; "_" &amp; TEXT(F202, "yyyymmdd") &amp; "_" &amp; TEXT(H202, "yyyymmdd")</f>
        <v/>
      </c>
    </row>
    <row r="203">
      <c r="B203" s="38" t="inlineStr">
        <is>
          <t>EE158</t>
        </is>
      </c>
      <c r="C203" s="38" t="inlineStr">
        <is>
          <t>No</t>
        </is>
      </c>
      <c r="D203" t="inlineStr">
        <is>
          <t>4467883</t>
        </is>
      </c>
      <c r="E203" s="38" t="inlineStr">
        <is>
          <t>LWOP - HCES SU FACILITATION TRAINING</t>
        </is>
      </c>
      <c r="F203" s="40" t="n">
        <v>45580</v>
      </c>
      <c r="G203" s="40" t="n">
        <v>45584</v>
      </c>
      <c r="H203" s="40" t="n">
        <v>45584</v>
      </c>
      <c r="I203" s="41" t="n">
        <v>2</v>
      </c>
      <c r="J203" s="41" t="n">
        <v>2</v>
      </c>
      <c r="K203" s="38" t="inlineStr">
        <is>
          <t>TR 2</t>
        </is>
      </c>
      <c r="L203" s="38" t="inlineStr">
        <is>
          <t>--</t>
        </is>
      </c>
      <c r="M203" s="38" t="inlineStr">
        <is>
          <t>--</t>
        </is>
      </c>
      <c r="N203" s="38" t="inlineStr">
        <is>
          <t>--</t>
        </is>
      </c>
      <c r="O203" s="38" t="inlineStr">
        <is>
          <t>JJH</t>
        </is>
      </c>
      <c r="Q203" s="62">
        <f>IF(C203="Yes", 1, IF(C203="no", 0, IF(C203= "tardy", SUM(J203/I203),"")))</f>
        <v/>
      </c>
      <c r="R203" s="62">
        <f>LEFT(Train_Log[[#This Row],[COURSE NAME:]],FIND(" - ", Train_Log[[#This Row],[COURSE NAME:]]) -1)</f>
        <v/>
      </c>
      <c r="S203" s="62">
        <f>MID(Train_Log[[#This Row],[COURSE NAME:]],FIND(" - ", Train_Log[[#This Row],[COURSE NAME:]]), 13)</f>
        <v/>
      </c>
      <c r="T203" s="62">
        <f>MID(E203, FIND(" - ", E203) + 3, LEN(E203)) &amp; "_" &amp; TEXT(F203, "yyyymmdd") &amp; "_" &amp; TEXT(H203, "yyyymmdd")</f>
        <v/>
      </c>
    </row>
    <row r="204">
      <c r="B204" s="38" t="inlineStr">
        <is>
          <t>EE164</t>
        </is>
      </c>
      <c r="C204" s="38" t="inlineStr">
        <is>
          <t>No</t>
        </is>
      </c>
      <c r="D204" t="inlineStr">
        <is>
          <t>5104733</t>
        </is>
      </c>
      <c r="E204" s="38" t="inlineStr">
        <is>
          <t>LWOP - HCES SU FACILITATION TRAINING</t>
        </is>
      </c>
      <c r="F204" s="40" t="n">
        <v>45671</v>
      </c>
      <c r="G204" s="40" t="n">
        <v>45673</v>
      </c>
      <c r="H204" s="40" t="n">
        <v>45673</v>
      </c>
      <c r="I204" s="41" t="n">
        <v>2</v>
      </c>
      <c r="J204" s="41" t="n">
        <v>2</v>
      </c>
      <c r="K204" s="38" t="inlineStr">
        <is>
          <t>TR 1</t>
        </is>
      </c>
      <c r="L204" s="38" t="inlineStr">
        <is>
          <t>TR 3</t>
        </is>
      </c>
      <c r="M204" s="38" t="inlineStr">
        <is>
          <t>--</t>
        </is>
      </c>
      <c r="N204" s="38" t="inlineStr">
        <is>
          <t>--</t>
        </is>
      </c>
      <c r="O204" s="38" t="inlineStr">
        <is>
          <t>JJH</t>
        </is>
      </c>
      <c r="P204" s="59" t="n"/>
      <c r="Q204" s="62">
        <f>IF(C204="Yes", 1, IF(C204="no", 0, IF(C204= "tardy", SUM(J204/I204),"")))</f>
        <v/>
      </c>
      <c r="R204" s="62">
        <f>LEFT(Train_Log[[#This Row],[COURSE NAME:]],FIND(" - ", Train_Log[[#This Row],[COURSE NAME:]]) -1)</f>
        <v/>
      </c>
      <c r="S204" s="62">
        <f>MID(Train_Log[[#This Row],[COURSE NAME:]],FIND(" - ", Train_Log[[#This Row],[COURSE NAME:]]), 13)</f>
        <v/>
      </c>
      <c r="T204" s="62">
        <f>MID(E204, FIND(" - ", E204) + 3, LEN(E204)) &amp; "_" &amp; TEXT(F204, "yyyymmdd") &amp; "_" &amp; TEXT(H204, "yyyymmdd")</f>
        <v/>
      </c>
    </row>
    <row r="205">
      <c r="B205" s="38" t="inlineStr">
        <is>
          <t>EE156</t>
        </is>
      </c>
      <c r="C205" s="38" t="inlineStr">
        <is>
          <t>tardy</t>
        </is>
      </c>
      <c r="D205" t="inlineStr">
        <is>
          <t>6688388</t>
        </is>
      </c>
      <c r="E205" s="38" t="inlineStr">
        <is>
          <t>OPTIONAL RETIREMENTS - MAILBUILD</t>
        </is>
      </c>
      <c r="F205" s="40" t="n">
        <v>45334</v>
      </c>
      <c r="G205" s="40" t="n">
        <v>45334</v>
      </c>
      <c r="H205" s="40" t="n">
        <v>45334</v>
      </c>
      <c r="I205" s="41" t="n">
        <v>3</v>
      </c>
      <c r="J205" s="41" t="n">
        <v>1.93</v>
      </c>
      <c r="K205" s="38" t="inlineStr">
        <is>
          <t>TR 10</t>
        </is>
      </c>
      <c r="L205" s="38" t="inlineStr">
        <is>
          <t>TR 1</t>
        </is>
      </c>
      <c r="M205" s="38" t="inlineStr">
        <is>
          <t>--</t>
        </is>
      </c>
      <c r="N205" s="38" t="inlineStr">
        <is>
          <t>--</t>
        </is>
      </c>
      <c r="O205" s="38" t="inlineStr">
        <is>
          <t>JJH</t>
        </is>
      </c>
      <c r="P205" s="59" t="n"/>
      <c r="Q205" s="62">
        <f>IF(C205="Yes", 1, IF(C205="no", 0, IF(C205= "tardy", SUM(J205/I205),"")))</f>
        <v/>
      </c>
      <c r="R205" s="62">
        <f>LEFT(Train_Log[[#This Row],[COURSE NAME:]],FIND(" - ", Train_Log[[#This Row],[COURSE NAME:]]) -1)</f>
        <v/>
      </c>
      <c r="S205" s="62">
        <f>MID(Train_Log[[#This Row],[COURSE NAME:]],FIND(" - ", Train_Log[[#This Row],[COURSE NAME:]]), 13)</f>
        <v/>
      </c>
      <c r="T205" s="62">
        <f>MID(E205, FIND(" - ", E205) + 3, LEN(E205)) &amp; "_" &amp; TEXT(F205, "yyyymmdd") &amp; "_" &amp; TEXT(H205, "yyyymmdd")</f>
        <v/>
      </c>
    </row>
    <row r="206">
      <c r="B206" s="38" t="inlineStr">
        <is>
          <t>EE155</t>
        </is>
      </c>
      <c r="C206" s="38" t="inlineStr">
        <is>
          <t>No</t>
        </is>
      </c>
      <c r="D206" t="inlineStr">
        <is>
          <t>5119145</t>
        </is>
      </c>
      <c r="E206" s="38" t="inlineStr">
        <is>
          <t>PHONES - LWOP</t>
        </is>
      </c>
      <c r="F206" s="40" t="n">
        <v>45759</v>
      </c>
      <c r="G206" s="40" t="n">
        <v>45759</v>
      </c>
      <c r="H206" s="40" t="n">
        <v>45759</v>
      </c>
      <c r="I206" s="41" t="n">
        <v>2</v>
      </c>
      <c r="J206" s="41" t="n">
        <v>2</v>
      </c>
      <c r="K206" s="38" t="inlineStr">
        <is>
          <t>TR 10</t>
        </is>
      </c>
      <c r="L206" s="38" t="inlineStr">
        <is>
          <t>TR 3</t>
        </is>
      </c>
      <c r="M206" s="38" t="inlineStr">
        <is>
          <t>--</t>
        </is>
      </c>
      <c r="N206" s="38" t="inlineStr">
        <is>
          <t>--</t>
        </is>
      </c>
      <c r="O206" s="38" t="inlineStr">
        <is>
          <t>JJH</t>
        </is>
      </c>
      <c r="P206" s="59" t="n"/>
      <c r="Q206" s="62">
        <f>IF(C206="Yes", 1, IF(C206="no", 0, IF(C206= "tardy", SUM(J206/I206),"")))</f>
        <v/>
      </c>
      <c r="R206" s="62">
        <f>LEFT(Train_Log[[#This Row],[COURSE NAME:]],FIND(" - ", Train_Log[[#This Row],[COURSE NAME:]]) -1)</f>
        <v/>
      </c>
      <c r="S206" s="62">
        <f>MID(Train_Log[[#This Row],[COURSE NAME:]],FIND(" - ", Train_Log[[#This Row],[COURSE NAME:]]), 13)</f>
        <v/>
      </c>
      <c r="T206" s="62">
        <f>MID(E206, FIND(" - ", E206) + 3, LEN(E206)) &amp; "_" &amp; TEXT(F206, "yyyymmdd") &amp; "_" &amp; TEXT(H206, "yyyymmdd")</f>
        <v/>
      </c>
    </row>
    <row r="207">
      <c r="B207" s="38" t="inlineStr">
        <is>
          <t>EE136</t>
        </is>
      </c>
      <c r="C207" s="38" t="inlineStr">
        <is>
          <t>No</t>
        </is>
      </c>
      <c r="D207" t="inlineStr">
        <is>
          <t>4641062</t>
        </is>
      </c>
      <c r="E207" s="38" t="inlineStr">
        <is>
          <t>LWOP - HCES SUPERUSER TRAINING</t>
        </is>
      </c>
      <c r="F207" s="40" t="n">
        <v>45706</v>
      </c>
      <c r="G207" s="40" t="n">
        <v>45706</v>
      </c>
      <c r="H207" s="40" t="n">
        <v>45706</v>
      </c>
      <c r="I207" s="41" t="n">
        <v>2</v>
      </c>
      <c r="J207" s="41" t="n">
        <v>2</v>
      </c>
      <c r="K207" s="38" t="inlineStr">
        <is>
          <t>TR 2</t>
        </is>
      </c>
      <c r="L207" s="38" t="inlineStr">
        <is>
          <t>TR 1</t>
        </is>
      </c>
      <c r="M207" s="38" t="inlineStr">
        <is>
          <t>--</t>
        </is>
      </c>
      <c r="N207" s="38" t="inlineStr">
        <is>
          <t>--</t>
        </is>
      </c>
      <c r="O207" s="38" t="inlineStr">
        <is>
          <t>JJH</t>
        </is>
      </c>
      <c r="P207" s="59" t="n"/>
      <c r="Q207" s="62">
        <f>IF(C207="Yes", 1, IF(C207="no", 0, IF(C207= "tardy", SUM(J207/I207),"")))</f>
        <v/>
      </c>
      <c r="R207" s="62">
        <f>LEFT(Train_Log[[#This Row],[COURSE NAME:]],FIND(" - ", Train_Log[[#This Row],[COURSE NAME:]]) -1)</f>
        <v/>
      </c>
      <c r="S207" s="62">
        <f>MID(Train_Log[[#This Row],[COURSE NAME:]],FIND(" - ", Train_Log[[#This Row],[COURSE NAME:]]), 13)</f>
        <v/>
      </c>
      <c r="T207" s="62">
        <f>MID(E207, FIND(" - ", E207) + 3, LEN(E207)) &amp; "_" &amp; TEXT(F207, "yyyymmdd") &amp; "_" &amp; TEXT(H207, "yyyymmdd")</f>
        <v/>
      </c>
    </row>
    <row r="208">
      <c r="B208" s="45" t="inlineStr">
        <is>
          <t>EE189</t>
        </is>
      </c>
      <c r="C208" s="38" t="inlineStr">
        <is>
          <t>No</t>
        </is>
      </c>
      <c r="D208" s="46" t="inlineStr">
        <is>
          <t>4242955</t>
        </is>
      </c>
      <c r="E208" s="45" t="inlineStr">
        <is>
          <t>PHONES - LWOP</t>
        </is>
      </c>
      <c r="F208" s="44" t="n">
        <v>45810</v>
      </c>
      <c r="G208" s="40" t="n">
        <v>45812</v>
      </c>
      <c r="H208" s="44" t="n">
        <v>45812</v>
      </c>
      <c r="I208" s="41" t="n">
        <v>8</v>
      </c>
      <c r="J208" s="47" t="n">
        <v>8</v>
      </c>
      <c r="K208" s="45" t="inlineStr">
        <is>
          <t>TR 2</t>
        </is>
      </c>
      <c r="L208" s="45" t="inlineStr">
        <is>
          <t>TR 5</t>
        </is>
      </c>
      <c r="M208" s="45" t="inlineStr">
        <is>
          <t>--</t>
        </is>
      </c>
      <c r="N208" s="38" t="inlineStr">
        <is>
          <t>--</t>
        </is>
      </c>
      <c r="O208" s="38" t="inlineStr">
        <is>
          <t>JJH</t>
        </is>
      </c>
      <c r="Q208" s="62">
        <f>IF(C208="Yes", 1, IF(C208="no", 0, IF(C208= "tardy", SUM(J208/I208),"")))</f>
        <v/>
      </c>
      <c r="R208" s="62">
        <f>LEFT(Train_Log[[#This Row],[COURSE NAME:]],FIND(" - ", Train_Log[[#This Row],[COURSE NAME:]]) -1)</f>
        <v/>
      </c>
      <c r="S208" s="62">
        <f>MID(Train_Log[[#This Row],[COURSE NAME:]],FIND(" - ", Train_Log[[#This Row],[COURSE NAME:]]), 13)</f>
        <v/>
      </c>
      <c r="T208" s="62">
        <f>MID(E208, FIND(" - ", E208) + 3, LEN(E208)) &amp; "_" &amp; TEXT(F208, "yyyymmdd") &amp; "_" &amp; TEXT(H208, "yyyymmdd")</f>
        <v/>
      </c>
    </row>
    <row r="209">
      <c r="B209" s="38" t="inlineStr">
        <is>
          <t>EE67</t>
        </is>
      </c>
      <c r="C209" s="38" t="inlineStr">
        <is>
          <t>No</t>
        </is>
      </c>
      <c r="D209" s="39" t="inlineStr">
        <is>
          <t>5213781</t>
        </is>
      </c>
      <c r="E209" s="38" t="inlineStr">
        <is>
          <t>OPTIONAL RETIREMENTS - MAILBUILD</t>
        </is>
      </c>
      <c r="F209" s="111" t="n">
        <v>45518</v>
      </c>
      <c r="G209" s="40" t="n">
        <v>45520</v>
      </c>
      <c r="H209" s="111" t="n">
        <v>45520</v>
      </c>
      <c r="I209" s="41" t="n">
        <v>4</v>
      </c>
      <c r="J209" s="43" t="n">
        <v>4</v>
      </c>
      <c r="K209" s="38" t="inlineStr">
        <is>
          <t>TR 4</t>
        </is>
      </c>
      <c r="L209" s="38" t="inlineStr">
        <is>
          <t>TR 2</t>
        </is>
      </c>
      <c r="M209" s="38" t="inlineStr">
        <is>
          <t>--</t>
        </is>
      </c>
      <c r="N209" s="38" t="inlineStr">
        <is>
          <t>--</t>
        </is>
      </c>
      <c r="O209" s="38" t="inlineStr">
        <is>
          <t>JJH</t>
        </is>
      </c>
      <c r="Q209" s="62">
        <f>IF(C209="Yes", 1, IF(C209="no", 0, IF(C209= "tardy", SUM(J209/I209),"")))</f>
        <v/>
      </c>
      <c r="R209" s="62">
        <f>LEFT(Train_Log[[#This Row],[COURSE NAME:]],FIND(" - ", Train_Log[[#This Row],[COURSE NAME:]]) -1)</f>
        <v/>
      </c>
      <c r="S209" s="62">
        <f>MID(Train_Log[[#This Row],[COURSE NAME:]],FIND(" - ", Train_Log[[#This Row],[COURSE NAME:]]), 13)</f>
        <v/>
      </c>
      <c r="T209" s="62">
        <f>MID(E209, FIND(" - ", E209) + 3, LEN(E209)) &amp; "_" &amp; TEXT(F209, "yyyymmdd") &amp; "_" &amp; TEXT(H209, "yyyymmdd")</f>
        <v/>
      </c>
    </row>
    <row r="210">
      <c r="B210" s="38" t="inlineStr">
        <is>
          <t>EE35</t>
        </is>
      </c>
      <c r="C210" s="38" t="inlineStr">
        <is>
          <t>No</t>
        </is>
      </c>
      <c r="D210" s="39" t="inlineStr">
        <is>
          <t>5772573</t>
        </is>
      </c>
      <c r="E210" s="38" t="inlineStr">
        <is>
          <t>PHONES - EMPLOYMENT VERIFICATION</t>
        </is>
      </c>
      <c r="F210" s="111" t="n">
        <v>45761</v>
      </c>
      <c r="G210" s="40" t="n">
        <v>45761</v>
      </c>
      <c r="H210" s="111" t="n">
        <v>45761</v>
      </c>
      <c r="I210" s="41" t="n">
        <v>4</v>
      </c>
      <c r="J210" s="42" t="n">
        <v>4</v>
      </c>
      <c r="K210" s="38" t="inlineStr">
        <is>
          <t>TR 2</t>
        </is>
      </c>
      <c r="L210" s="38" t="inlineStr">
        <is>
          <t>--</t>
        </is>
      </c>
      <c r="M210" s="38" t="inlineStr">
        <is>
          <t>--</t>
        </is>
      </c>
      <c r="N210" s="38" t="inlineStr">
        <is>
          <t>--</t>
        </is>
      </c>
      <c r="O210" s="38" t="inlineStr">
        <is>
          <t>JJH</t>
        </is>
      </c>
      <c r="Q210" s="62">
        <f>IF(C210="Yes", 1, IF(C210="no", 0, IF(C210= "tardy", SUM(J210/I210),"")))</f>
        <v/>
      </c>
      <c r="R210" s="62">
        <f>LEFT(Train_Log[[#This Row],[COURSE NAME:]],FIND(" - ", Train_Log[[#This Row],[COURSE NAME:]]) -1)</f>
        <v/>
      </c>
      <c r="S210" s="62">
        <f>MID(Train_Log[[#This Row],[COURSE NAME:]],FIND(" - ", Train_Log[[#This Row],[COURSE NAME:]]), 13)</f>
        <v/>
      </c>
      <c r="T210" s="62">
        <f>MID(E210, FIND(" - ", E210) + 3, LEN(E210)) &amp; "_" &amp; TEXT(F210, "yyyymmdd") &amp; "_" &amp; TEXT(H210, "yyyymmdd")</f>
        <v/>
      </c>
    </row>
    <row r="211">
      <c r="B211" s="38" t="inlineStr">
        <is>
          <t>EE82</t>
        </is>
      </c>
      <c r="C211" s="38" t="inlineStr">
        <is>
          <t>No</t>
        </is>
      </c>
      <c r="D211" s="39" t="inlineStr">
        <is>
          <t>6943647</t>
        </is>
      </c>
      <c r="E211" s="38" t="inlineStr">
        <is>
          <t>LWOP - HCES SUPERUSER TRAINING</t>
        </is>
      </c>
      <c r="F211" s="111" t="n">
        <v>45365</v>
      </c>
      <c r="G211" s="40" t="n">
        <v>45367</v>
      </c>
      <c r="H211" s="111" t="n">
        <v>45367</v>
      </c>
      <c r="I211" s="41" t="n">
        <v>3</v>
      </c>
      <c r="J211" s="42" t="n">
        <v>3</v>
      </c>
      <c r="K211" s="38" t="inlineStr">
        <is>
          <t>TR 3</t>
        </is>
      </c>
      <c r="L211" s="38" t="inlineStr">
        <is>
          <t>--</t>
        </is>
      </c>
      <c r="M211" s="38" t="inlineStr">
        <is>
          <t>--</t>
        </is>
      </c>
      <c r="N211" s="38" t="inlineStr">
        <is>
          <t>--</t>
        </is>
      </c>
      <c r="O211" s="38" t="inlineStr">
        <is>
          <t>JJH</t>
        </is>
      </c>
      <c r="Q211" s="62">
        <f>IF(C211="Yes", 1, IF(C211="no", 0, IF(C211= "tardy", SUM(J211/I211),"")))</f>
        <v/>
      </c>
      <c r="R211" s="62">
        <f>LEFT(Train_Log[[#This Row],[COURSE NAME:]],FIND(" - ", Train_Log[[#This Row],[COURSE NAME:]]) -1)</f>
        <v/>
      </c>
      <c r="S211" s="62">
        <f>MID(Train_Log[[#This Row],[COURSE NAME:]],FIND(" - ", Train_Log[[#This Row],[COURSE NAME:]]), 13)</f>
        <v/>
      </c>
      <c r="T211" s="62">
        <f>MID(E211, FIND(" - ", E211) + 3, LEN(E211)) &amp; "_" &amp; TEXT(F211, "yyyymmdd") &amp; "_" &amp; TEXT(H211, "yyyymmdd")</f>
        <v/>
      </c>
    </row>
    <row r="212">
      <c r="B212" s="38" t="inlineStr">
        <is>
          <t>EE45</t>
        </is>
      </c>
      <c r="C212" s="38" t="inlineStr">
        <is>
          <t>No</t>
        </is>
      </c>
      <c r="D212" s="39" t="inlineStr">
        <is>
          <t>5505668</t>
        </is>
      </c>
      <c r="E212" s="38" t="inlineStr">
        <is>
          <t>LWOP - HCES SUPERUSER TRAINING</t>
        </is>
      </c>
      <c r="F212" s="111" t="n">
        <v>45819</v>
      </c>
      <c r="G212" s="40" t="n">
        <v>45819</v>
      </c>
      <c r="H212" s="111" t="n">
        <v>45819</v>
      </c>
      <c r="I212" s="41" t="n">
        <v>2</v>
      </c>
      <c r="J212" s="42" t="n">
        <v>2</v>
      </c>
      <c r="K212" s="38" t="inlineStr">
        <is>
          <t>TR 3</t>
        </is>
      </c>
      <c r="L212" s="38" t="inlineStr">
        <is>
          <t>TR 4</t>
        </is>
      </c>
      <c r="M212" s="38" t="inlineStr">
        <is>
          <t>--</t>
        </is>
      </c>
      <c r="N212" s="38" t="inlineStr">
        <is>
          <t>--</t>
        </is>
      </c>
      <c r="O212" s="38" t="inlineStr">
        <is>
          <t>JJH</t>
        </is>
      </c>
      <c r="Q212" s="62">
        <f>IF(C212="Yes", 1, IF(C212="no", 0, IF(C212= "tardy", SUM(J212/I212),"")))</f>
        <v/>
      </c>
      <c r="R212" s="62">
        <f>LEFT(Train_Log[[#This Row],[COURSE NAME:]],FIND(" - ", Train_Log[[#This Row],[COURSE NAME:]]) -1)</f>
        <v/>
      </c>
      <c r="S212" s="62">
        <f>MID(Train_Log[[#This Row],[COURSE NAME:]],FIND(" - ", Train_Log[[#This Row],[COURSE NAME:]]), 13)</f>
        <v/>
      </c>
      <c r="T212" s="62">
        <f>MID(E212, FIND(" - ", E212) + 3, LEN(E212)) &amp; "_" &amp; TEXT(F212, "yyyymmdd") &amp; "_" &amp; TEXT(H212, "yyyymmdd")</f>
        <v/>
      </c>
    </row>
    <row r="213">
      <c r="B213" s="38" t="inlineStr">
        <is>
          <t>EE127</t>
        </is>
      </c>
      <c r="C213" s="38" t="inlineStr">
        <is>
          <t>No</t>
        </is>
      </c>
      <c r="D213" s="39" t="inlineStr">
        <is>
          <t>5675207</t>
        </is>
      </c>
      <c r="E213" s="38" t="inlineStr">
        <is>
          <t>PHONES - BENEFITS</t>
        </is>
      </c>
      <c r="F213" s="111" t="n">
        <v>45668</v>
      </c>
      <c r="G213" s="40" t="n">
        <v>45670</v>
      </c>
      <c r="H213" s="111" t="n">
        <v>45670</v>
      </c>
      <c r="I213" s="41" t="n">
        <v>4</v>
      </c>
      <c r="J213" s="43" t="n">
        <v>4</v>
      </c>
      <c r="K213" s="38" t="inlineStr">
        <is>
          <t>TR 9</t>
        </is>
      </c>
      <c r="L213" s="38" t="inlineStr">
        <is>
          <t>TR 3</t>
        </is>
      </c>
      <c r="M213" s="38" t="inlineStr">
        <is>
          <t>--</t>
        </is>
      </c>
      <c r="N213" s="38" t="inlineStr">
        <is>
          <t>--</t>
        </is>
      </c>
      <c r="O213" s="38" t="inlineStr">
        <is>
          <t>JJH</t>
        </is>
      </c>
      <c r="Q213" s="62">
        <f>IF(C213="Yes", 1, IF(C213="no", 0, IF(C213= "tardy", SUM(J213/I213),"")))</f>
        <v/>
      </c>
      <c r="R213" s="62">
        <f>LEFT(Train_Log[[#This Row],[COURSE NAME:]],FIND(" - ", Train_Log[[#This Row],[COURSE NAME:]]) -1)</f>
        <v/>
      </c>
      <c r="S213" s="62">
        <f>MID(Train_Log[[#This Row],[COURSE NAME:]],FIND(" - ", Train_Log[[#This Row],[COURSE NAME:]]), 13)</f>
        <v/>
      </c>
      <c r="T213" s="62">
        <f>MID(E213, FIND(" - ", E213) + 3, LEN(E213)) &amp; "_" &amp; TEXT(F213, "yyyymmdd") &amp; "_" &amp; TEXT(H213, "yyyymmdd")</f>
        <v/>
      </c>
    </row>
    <row r="214">
      <c r="B214" s="38" t="inlineStr">
        <is>
          <t>EE157</t>
        </is>
      </c>
      <c r="C214" s="38" t="inlineStr">
        <is>
          <t>No</t>
        </is>
      </c>
      <c r="D214" s="39" t="inlineStr">
        <is>
          <t>5426799</t>
        </is>
      </c>
      <c r="E214" s="38" t="inlineStr">
        <is>
          <t>PHONES - EMPLOYMENT VERIFICATION</t>
        </is>
      </c>
      <c r="F214" s="111" t="n">
        <v>45366</v>
      </c>
      <c r="G214" s="40" t="n">
        <v>45366</v>
      </c>
      <c r="H214" s="111" t="n">
        <v>45366</v>
      </c>
      <c r="I214" s="41" t="n">
        <v>4</v>
      </c>
      <c r="J214" s="42" t="n">
        <v>4</v>
      </c>
      <c r="K214" s="38" t="inlineStr">
        <is>
          <t>TR 9</t>
        </is>
      </c>
      <c r="L214" s="38" t="inlineStr">
        <is>
          <t>TR 7</t>
        </is>
      </c>
      <c r="M214" s="38" t="inlineStr">
        <is>
          <t>--</t>
        </is>
      </c>
      <c r="N214" s="38" t="inlineStr">
        <is>
          <t>--</t>
        </is>
      </c>
      <c r="O214" s="38" t="inlineStr">
        <is>
          <t>JJH</t>
        </is>
      </c>
      <c r="Q214" s="62">
        <f>IF(C214="Yes", 1, IF(C214="no", 0, IF(C214= "tardy", SUM(J214/I214),"")))</f>
        <v/>
      </c>
      <c r="R214" s="62">
        <f>LEFT(Train_Log[[#This Row],[COURSE NAME:]],FIND(" - ", Train_Log[[#This Row],[COURSE NAME:]]) -1)</f>
        <v/>
      </c>
      <c r="S214" s="62">
        <f>MID(Train_Log[[#This Row],[COURSE NAME:]],FIND(" - ", Train_Log[[#This Row],[COURSE NAME:]]), 13)</f>
        <v/>
      </c>
      <c r="T214" s="62">
        <f>MID(E214, FIND(" - ", E214) + 3, LEN(E214)) &amp; "_" &amp; TEXT(F214, "yyyymmdd") &amp; "_" &amp; TEXT(H214, "yyyymmdd")</f>
        <v/>
      </c>
    </row>
    <row r="215">
      <c r="B215" s="38" t="inlineStr">
        <is>
          <t>EE105</t>
        </is>
      </c>
      <c r="C215" s="38" t="inlineStr">
        <is>
          <t>No</t>
        </is>
      </c>
      <c r="D215" s="39" t="inlineStr">
        <is>
          <t>5682607</t>
        </is>
      </c>
      <c r="E215" s="38" t="inlineStr">
        <is>
          <t>PHONES - EMPLOYMENT VERIFICATION</t>
        </is>
      </c>
      <c r="F215" s="111" t="n">
        <v>45427</v>
      </c>
      <c r="G215" s="40" t="n">
        <v>45427</v>
      </c>
      <c r="H215" s="111" t="n">
        <v>45427</v>
      </c>
      <c r="I215" s="41" t="n">
        <v>4</v>
      </c>
      <c r="J215" s="42" t="n">
        <v>4</v>
      </c>
      <c r="K215" s="38" t="inlineStr">
        <is>
          <t>TR 8</t>
        </is>
      </c>
      <c r="L215" s="38" t="inlineStr">
        <is>
          <t>--</t>
        </is>
      </c>
      <c r="M215" s="38" t="inlineStr">
        <is>
          <t>--</t>
        </is>
      </c>
      <c r="N215" s="38" t="inlineStr">
        <is>
          <t>--</t>
        </is>
      </c>
      <c r="O215" s="38" t="inlineStr">
        <is>
          <t>JJH</t>
        </is>
      </c>
      <c r="Q215" s="62">
        <f>IF(C215="Yes", 1, IF(C215="no", 0, IF(C215= "tardy", SUM(J215/I215),"")))</f>
        <v/>
      </c>
      <c r="R215" s="62">
        <f>LEFT(Train_Log[[#This Row],[COURSE NAME:]],FIND(" - ", Train_Log[[#This Row],[COURSE NAME:]]) -1)</f>
        <v/>
      </c>
      <c r="S215" s="62">
        <f>MID(Train_Log[[#This Row],[COURSE NAME:]],FIND(" - ", Train_Log[[#This Row],[COURSE NAME:]]), 13)</f>
        <v/>
      </c>
      <c r="T215" s="62">
        <f>MID(E215, FIND(" - ", E215) + 3, LEN(E215)) &amp; "_" &amp; TEXT(F215, "yyyymmdd") &amp; "_" &amp; TEXT(H215, "yyyymmdd")</f>
        <v/>
      </c>
    </row>
    <row r="216">
      <c r="B216" s="38" t="inlineStr">
        <is>
          <t>EE133</t>
        </is>
      </c>
      <c r="C216" s="38" t="inlineStr">
        <is>
          <t>No</t>
        </is>
      </c>
      <c r="D216" s="39" t="inlineStr">
        <is>
          <t>4381301</t>
        </is>
      </c>
      <c r="E216" s="38" t="inlineStr">
        <is>
          <t>LWOP - HCES SUPERUSER TRAINING</t>
        </is>
      </c>
      <c r="F216" s="111" t="n">
        <v>45430</v>
      </c>
      <c r="G216" s="40" t="n">
        <v>45432</v>
      </c>
      <c r="H216" s="111" t="n">
        <v>45432</v>
      </c>
      <c r="I216" s="41" t="n">
        <v>2</v>
      </c>
      <c r="J216" s="42" t="n">
        <v>2</v>
      </c>
      <c r="K216" s="38" t="inlineStr">
        <is>
          <t>TR 3</t>
        </is>
      </c>
      <c r="L216" s="38" t="inlineStr">
        <is>
          <t>TR 7</t>
        </is>
      </c>
      <c r="M216" s="38" t="inlineStr">
        <is>
          <t>--</t>
        </is>
      </c>
      <c r="N216" s="38" t="inlineStr">
        <is>
          <t>--</t>
        </is>
      </c>
      <c r="O216" s="38" t="inlineStr">
        <is>
          <t>JJH</t>
        </is>
      </c>
      <c r="Q216" s="62">
        <f>IF(C216="Yes", 1, IF(C216="no", 0, IF(C216= "tardy", SUM(J216/I216),"")))</f>
        <v/>
      </c>
      <c r="R216" s="62">
        <f>LEFT(Train_Log[[#This Row],[COURSE NAME:]],FIND(" - ", Train_Log[[#This Row],[COURSE NAME:]]) -1)</f>
        <v/>
      </c>
      <c r="S216" s="62">
        <f>MID(Train_Log[[#This Row],[COURSE NAME:]],FIND(" - ", Train_Log[[#This Row],[COURSE NAME:]]), 13)</f>
        <v/>
      </c>
      <c r="T216" s="62">
        <f>MID(E216, FIND(" - ", E216) + 3, LEN(E216)) &amp; "_" &amp; TEXT(F216, "yyyymmdd") &amp; "_" &amp; TEXT(H216, "yyyymmdd")</f>
        <v/>
      </c>
    </row>
    <row r="217">
      <c r="B217" s="38" t="inlineStr">
        <is>
          <t>EE129</t>
        </is>
      </c>
      <c r="C217" s="38" t="inlineStr">
        <is>
          <t>No</t>
        </is>
      </c>
      <c r="D217" s="39" t="inlineStr">
        <is>
          <t>4919897</t>
        </is>
      </c>
      <c r="E217" s="38" t="inlineStr">
        <is>
          <t>PHONES - BENEFITS</t>
        </is>
      </c>
      <c r="F217" s="111" t="n">
        <v>45426</v>
      </c>
      <c r="G217" s="40" t="n">
        <v>45428</v>
      </c>
      <c r="H217" s="111" t="n">
        <v>45428</v>
      </c>
      <c r="I217" s="41" t="n">
        <v>2</v>
      </c>
      <c r="J217" s="42" t="n">
        <v>2</v>
      </c>
      <c r="K217" s="38" t="inlineStr">
        <is>
          <t>TR 3</t>
        </is>
      </c>
      <c r="L217" s="38" t="inlineStr">
        <is>
          <t>TR 6</t>
        </is>
      </c>
      <c r="M217" s="38" t="inlineStr">
        <is>
          <t>--</t>
        </is>
      </c>
      <c r="N217" s="38" t="inlineStr">
        <is>
          <t>--</t>
        </is>
      </c>
      <c r="O217" s="38" t="inlineStr">
        <is>
          <t>JJH</t>
        </is>
      </c>
      <c r="Q217" s="62">
        <f>IF(C217="Yes", 1, IF(C217="no", 0, IF(C217= "tardy", SUM(J217/I217),"")))</f>
        <v/>
      </c>
      <c r="R217" s="62">
        <f>LEFT(Train_Log[[#This Row],[COURSE NAME:]],FIND(" - ", Train_Log[[#This Row],[COURSE NAME:]]) -1)</f>
        <v/>
      </c>
      <c r="S217" s="62">
        <f>MID(Train_Log[[#This Row],[COURSE NAME:]],FIND(" - ", Train_Log[[#This Row],[COURSE NAME:]]), 13)</f>
        <v/>
      </c>
      <c r="T217" s="62">
        <f>MID(E217, FIND(" - ", E217) + 3, LEN(E217)) &amp; "_" &amp; TEXT(F217, "yyyymmdd") &amp; "_" &amp; TEXT(H217, "yyyymmdd")</f>
        <v/>
      </c>
    </row>
    <row r="218">
      <c r="B218" s="38" t="inlineStr">
        <is>
          <t>EE182</t>
        </is>
      </c>
      <c r="C218" s="38" t="inlineStr">
        <is>
          <t>No</t>
        </is>
      </c>
      <c r="D218" s="39" t="inlineStr">
        <is>
          <t>5359609</t>
        </is>
      </c>
      <c r="E218" s="38" t="inlineStr">
        <is>
          <t>SUPPORT - TRAINING - PTSP TRAINING</t>
        </is>
      </c>
      <c r="F218" s="111" t="n">
        <v>45653</v>
      </c>
      <c r="G218" s="40" t="n">
        <v>45655</v>
      </c>
      <c r="H218" s="111" t="n">
        <v>45655</v>
      </c>
      <c r="I218" s="41" t="n">
        <v>2</v>
      </c>
      <c r="J218" s="43" t="n">
        <v>2</v>
      </c>
      <c r="K218" s="38" t="inlineStr">
        <is>
          <t>TR 5</t>
        </is>
      </c>
      <c r="L218" s="38" t="inlineStr">
        <is>
          <t>TR 4</t>
        </is>
      </c>
      <c r="M218" s="38" t="inlineStr">
        <is>
          <t>--</t>
        </is>
      </c>
      <c r="N218" s="38" t="inlineStr">
        <is>
          <t>--</t>
        </is>
      </c>
      <c r="O218" s="38" t="inlineStr">
        <is>
          <t>JJH</t>
        </is>
      </c>
      <c r="P218" s="59" t="n"/>
      <c r="Q218" s="62">
        <f>IF(C218="Yes", 1, IF(C218="no", 0, IF(C218= "tardy", SUM(J218/I218),"")))</f>
        <v/>
      </c>
      <c r="R218" s="62">
        <f>LEFT(Train_Log[[#This Row],[COURSE NAME:]],FIND(" - ", Train_Log[[#This Row],[COURSE NAME:]]) -1)</f>
        <v/>
      </c>
      <c r="S218" s="62">
        <f>MID(Train_Log[[#This Row],[COURSE NAME:]],FIND(" - ", Train_Log[[#This Row],[COURSE NAME:]]), 13)</f>
        <v/>
      </c>
      <c r="T218" s="62">
        <f>MID(E218, FIND(" - ", E218) + 3, LEN(E218)) &amp; "_" &amp; TEXT(F218, "yyyymmdd") &amp; "_" &amp; TEXT(H218, "yyyymmdd")</f>
        <v/>
      </c>
    </row>
    <row r="219">
      <c r="B219" s="38" t="inlineStr">
        <is>
          <t>EE163</t>
        </is>
      </c>
      <c r="C219" s="38" t="inlineStr">
        <is>
          <t>No</t>
        </is>
      </c>
      <c r="D219" s="39" t="inlineStr">
        <is>
          <t>4013611</t>
        </is>
      </c>
      <c r="E219" s="38" t="inlineStr">
        <is>
          <t>RTR - EFORM SEPARATIONS TRAINING</t>
        </is>
      </c>
      <c r="F219" s="44" t="n">
        <v>45427</v>
      </c>
      <c r="G219" s="40" t="n">
        <v>45431</v>
      </c>
      <c r="H219" s="44" t="n">
        <v>45431</v>
      </c>
      <c r="I219" s="41" t="n">
        <v>8</v>
      </c>
      <c r="J219" s="42" t="n">
        <v>8</v>
      </c>
      <c r="K219" s="38" t="inlineStr">
        <is>
          <t>TR 2</t>
        </is>
      </c>
      <c r="L219" s="38" t="inlineStr">
        <is>
          <t>TR 9</t>
        </is>
      </c>
      <c r="M219" s="38" t="inlineStr">
        <is>
          <t>--</t>
        </is>
      </c>
      <c r="N219" s="38" t="inlineStr">
        <is>
          <t>--</t>
        </is>
      </c>
      <c r="O219" s="38" t="inlineStr">
        <is>
          <t>JJH</t>
        </is>
      </c>
      <c r="Q219" s="62">
        <f>IF(C219="Yes", 1, IF(C219="no", 0, IF(C219= "tardy", SUM(J219/I219),"")))</f>
        <v/>
      </c>
      <c r="R219" s="62">
        <f>LEFT(Train_Log[[#This Row],[COURSE NAME:]],FIND(" - ", Train_Log[[#This Row],[COURSE NAME:]]) -1)</f>
        <v/>
      </c>
      <c r="S219" s="62">
        <f>MID(Train_Log[[#This Row],[COURSE NAME:]],FIND(" - ", Train_Log[[#This Row],[COURSE NAME:]]), 13)</f>
        <v/>
      </c>
      <c r="T219" s="62">
        <f>MID(E219, FIND(" - ", E219) + 3, LEN(E219)) &amp; "_" &amp; TEXT(F219, "yyyymmdd") &amp; "_" &amp; TEXT(H219, "yyyymmdd")</f>
        <v/>
      </c>
    </row>
    <row r="220">
      <c r="B220" s="38" t="inlineStr">
        <is>
          <t>EE165</t>
        </is>
      </c>
      <c r="C220" s="38" t="inlineStr">
        <is>
          <t>No</t>
        </is>
      </c>
      <c r="D220" s="39" t="inlineStr">
        <is>
          <t>6099610</t>
        </is>
      </c>
      <c r="E220" s="38" t="inlineStr">
        <is>
          <t>PHONES - LWOP</t>
        </is>
      </c>
      <c r="F220" s="44" t="n">
        <v>45456</v>
      </c>
      <c r="G220" s="40" t="n">
        <v>45456</v>
      </c>
      <c r="H220" s="44" t="n">
        <v>45456</v>
      </c>
      <c r="I220" s="41" t="n">
        <v>8</v>
      </c>
      <c r="J220" s="42" t="n">
        <v>8</v>
      </c>
      <c r="K220" s="38" t="inlineStr">
        <is>
          <t>TR 6</t>
        </is>
      </c>
      <c r="L220" s="38" t="inlineStr">
        <is>
          <t>TR 10</t>
        </is>
      </c>
      <c r="M220" s="38" t="inlineStr">
        <is>
          <t>--</t>
        </is>
      </c>
      <c r="N220" s="38" t="inlineStr">
        <is>
          <t>--</t>
        </is>
      </c>
      <c r="O220" s="38" t="inlineStr">
        <is>
          <t>JJH</t>
        </is>
      </c>
      <c r="Q220" s="62">
        <f>IF(C220="Yes", 1, IF(C220="no", 0, IF(C220= "tardy", SUM(J220/I220),"")))</f>
        <v/>
      </c>
      <c r="R220" s="62">
        <f>LEFT(Train_Log[[#This Row],[COURSE NAME:]],FIND(" - ", Train_Log[[#This Row],[COURSE NAME:]]) -1)</f>
        <v/>
      </c>
      <c r="S220" s="62">
        <f>MID(Train_Log[[#This Row],[COURSE NAME:]],FIND(" - ", Train_Log[[#This Row],[COURSE NAME:]]), 13)</f>
        <v/>
      </c>
      <c r="T220" s="62">
        <f>MID(E220, FIND(" - ", E220) + 3, LEN(E220)) &amp; "_" &amp; TEXT(F220, "yyyymmdd") &amp; "_" &amp; TEXT(H220, "yyyymmdd")</f>
        <v/>
      </c>
    </row>
    <row r="221">
      <c r="B221" s="38" t="inlineStr">
        <is>
          <t>EE11</t>
        </is>
      </c>
      <c r="C221" s="38" t="inlineStr">
        <is>
          <t>No</t>
        </is>
      </c>
      <c r="D221" s="39" t="inlineStr">
        <is>
          <t>4364647</t>
        </is>
      </c>
      <c r="E221" s="38" t="inlineStr">
        <is>
          <t>PHONES - BENEFITS</t>
        </is>
      </c>
      <c r="F221" s="44" t="n">
        <v>45382</v>
      </c>
      <c r="G221" s="40" t="n">
        <v>45382</v>
      </c>
      <c r="H221" s="44" t="n">
        <v>45382</v>
      </c>
      <c r="I221" s="41" t="n">
        <v>8</v>
      </c>
      <c r="J221" s="42" t="n">
        <v>8</v>
      </c>
      <c r="K221" s="38" t="inlineStr">
        <is>
          <t>TR 5</t>
        </is>
      </c>
      <c r="L221" s="38" t="inlineStr">
        <is>
          <t>--</t>
        </is>
      </c>
      <c r="M221" s="38" t="inlineStr">
        <is>
          <t>--</t>
        </is>
      </c>
      <c r="N221" s="38" t="inlineStr">
        <is>
          <t>--</t>
        </is>
      </c>
      <c r="O221" s="38" t="inlineStr">
        <is>
          <t>JJH</t>
        </is>
      </c>
      <c r="Q221" s="62">
        <f>IF(C221="Yes", 1, IF(C221="no", 0, IF(C221= "tardy", SUM(J221/I221),"")))</f>
        <v/>
      </c>
      <c r="R221" s="62">
        <f>LEFT(Train_Log[[#This Row],[COURSE NAME:]],FIND(" - ", Train_Log[[#This Row],[COURSE NAME:]]) -1)</f>
        <v/>
      </c>
      <c r="S221" s="62">
        <f>MID(Train_Log[[#This Row],[COURSE NAME:]],FIND(" - ", Train_Log[[#This Row],[COURSE NAME:]]), 13)</f>
        <v/>
      </c>
      <c r="T221" s="62">
        <f>MID(E221, FIND(" - ", E221) + 3, LEN(E221)) &amp; "_" &amp; TEXT(F221, "yyyymmdd") &amp; "_" &amp; TEXT(H221, "yyyymmdd")</f>
        <v/>
      </c>
    </row>
    <row r="222">
      <c r="B222" s="38" t="inlineStr">
        <is>
          <t>EE54</t>
        </is>
      </c>
      <c r="C222" s="38" t="inlineStr">
        <is>
          <t>No</t>
        </is>
      </c>
      <c r="D222" s="39" t="inlineStr">
        <is>
          <t>4330511</t>
        </is>
      </c>
      <c r="E222" s="38" t="inlineStr">
        <is>
          <t>LWOP - HCES SU FACILITATION TRAINING</t>
        </is>
      </c>
      <c r="F222" s="44" t="n">
        <v>45330</v>
      </c>
      <c r="G222" s="40" t="n">
        <v>45331</v>
      </c>
      <c r="H222" s="44" t="n">
        <v>45331</v>
      </c>
      <c r="I222" s="41" t="n">
        <v>8</v>
      </c>
      <c r="J222" s="42" t="n">
        <v>8</v>
      </c>
      <c r="K222" s="38" t="inlineStr">
        <is>
          <t>TR 5</t>
        </is>
      </c>
      <c r="L222" s="38" t="inlineStr">
        <is>
          <t>--</t>
        </is>
      </c>
      <c r="M222" s="38" t="inlineStr">
        <is>
          <t>--</t>
        </is>
      </c>
      <c r="N222" s="38" t="inlineStr">
        <is>
          <t>--</t>
        </is>
      </c>
      <c r="O222" s="38" t="inlineStr">
        <is>
          <t>JJH</t>
        </is>
      </c>
      <c r="Q222" s="62">
        <f>IF(C222="Yes", 1, IF(C222="no", 0, IF(C222= "tardy", SUM(J222/I222),"")))</f>
        <v/>
      </c>
      <c r="R222" s="62">
        <f>LEFT(Train_Log[[#This Row],[COURSE NAME:]],FIND(" - ", Train_Log[[#This Row],[COURSE NAME:]]) -1)</f>
        <v/>
      </c>
      <c r="S222" s="62">
        <f>MID(Train_Log[[#This Row],[COURSE NAME:]],FIND(" - ", Train_Log[[#This Row],[COURSE NAME:]]), 13)</f>
        <v/>
      </c>
      <c r="T222" s="62">
        <f>MID(E222, FIND(" - ", E222) + 3, LEN(E222)) &amp; "_" &amp; TEXT(F222, "yyyymmdd") &amp; "_" &amp; TEXT(H222, "yyyymmdd")</f>
        <v/>
      </c>
    </row>
    <row r="223">
      <c r="B223" s="38" t="inlineStr">
        <is>
          <t>EE78</t>
        </is>
      </c>
      <c r="C223" s="38" t="inlineStr">
        <is>
          <t>No</t>
        </is>
      </c>
      <c r="D223" s="39" t="inlineStr">
        <is>
          <t>5490113</t>
        </is>
      </c>
      <c r="E223" s="38" t="inlineStr">
        <is>
          <t>OPTIONAL RETIREMENTS - MAILBUILD</t>
        </is>
      </c>
      <c r="F223" s="44" t="n">
        <v>45549</v>
      </c>
      <c r="G223" s="40" t="n">
        <v>45553</v>
      </c>
      <c r="H223" s="44" t="n">
        <v>45553</v>
      </c>
      <c r="I223" s="41" t="n">
        <v>4</v>
      </c>
      <c r="J223" s="42" t="n">
        <v>4</v>
      </c>
      <c r="K223" s="38" t="inlineStr">
        <is>
          <t>TR 2</t>
        </is>
      </c>
      <c r="L223" s="38" t="inlineStr">
        <is>
          <t>TR 1</t>
        </is>
      </c>
      <c r="M223" s="38" t="inlineStr">
        <is>
          <t>--</t>
        </is>
      </c>
      <c r="N223" s="38" t="inlineStr">
        <is>
          <t>--</t>
        </is>
      </c>
      <c r="O223" s="38" t="inlineStr">
        <is>
          <t>JJH</t>
        </is>
      </c>
      <c r="Q223" s="62">
        <f>IF(C223="Yes", 1, IF(C223="no", 0, IF(C223= "tardy", SUM(J223/I223),"")))</f>
        <v/>
      </c>
      <c r="R223" s="62">
        <f>LEFT(Train_Log[[#This Row],[COURSE NAME:]],FIND(" - ", Train_Log[[#This Row],[COURSE NAME:]]) -1)</f>
        <v/>
      </c>
      <c r="S223" s="62">
        <f>MID(Train_Log[[#This Row],[COURSE NAME:]],FIND(" - ", Train_Log[[#This Row],[COURSE NAME:]]), 13)</f>
        <v/>
      </c>
      <c r="T223" s="62">
        <f>MID(E223, FIND(" - ", E223) + 3, LEN(E223)) &amp; "_" &amp; TEXT(F223, "yyyymmdd") &amp; "_" &amp; TEXT(H223, "yyyymmdd")</f>
        <v/>
      </c>
    </row>
    <row r="224">
      <c r="B224" s="38" t="inlineStr">
        <is>
          <t>EE41</t>
        </is>
      </c>
      <c r="C224" s="38" t="inlineStr">
        <is>
          <t>No</t>
        </is>
      </c>
      <c r="D224" s="39" t="inlineStr">
        <is>
          <t>4428700</t>
        </is>
      </c>
      <c r="E224" s="38" t="inlineStr">
        <is>
          <t>OPTIONAL RETIREMENTS - MAILBUILD</t>
        </is>
      </c>
      <c r="F224" s="44" t="n">
        <v>45724</v>
      </c>
      <c r="G224" s="40" t="n">
        <v>45725</v>
      </c>
      <c r="H224" s="44" t="n">
        <v>45725</v>
      </c>
      <c r="I224" s="41" t="n">
        <v>3</v>
      </c>
      <c r="J224" s="42" t="n">
        <v>3</v>
      </c>
      <c r="K224" s="38" t="inlineStr">
        <is>
          <t>TR 10</t>
        </is>
      </c>
      <c r="L224" s="38" t="inlineStr">
        <is>
          <t>TR 3</t>
        </is>
      </c>
      <c r="M224" s="38" t="inlineStr">
        <is>
          <t>--</t>
        </is>
      </c>
      <c r="N224" s="38" t="inlineStr">
        <is>
          <t>--</t>
        </is>
      </c>
      <c r="O224" s="38" t="inlineStr">
        <is>
          <t>JJH</t>
        </is>
      </c>
      <c r="Q224" s="62">
        <f>IF(C224="Yes", 1, IF(C224="no", 0, IF(C224= "tardy", SUM(J224/I224),"")))</f>
        <v/>
      </c>
      <c r="R224" s="62">
        <f>LEFT(Train_Log[[#This Row],[COURSE NAME:]],FIND(" - ", Train_Log[[#This Row],[COURSE NAME:]]) -1)</f>
        <v/>
      </c>
      <c r="S224" s="62">
        <f>MID(Train_Log[[#This Row],[COURSE NAME:]],FIND(" - ", Train_Log[[#This Row],[COURSE NAME:]]), 13)</f>
        <v/>
      </c>
      <c r="T224" s="62">
        <f>MID(E224, FIND(" - ", E224) + 3, LEN(E224)) &amp; "_" &amp; TEXT(F224, "yyyymmdd") &amp; "_" &amp; TEXT(H224, "yyyymmdd")</f>
        <v/>
      </c>
    </row>
    <row r="225">
      <c r="B225" s="38" t="inlineStr">
        <is>
          <t>EE81</t>
        </is>
      </c>
      <c r="C225" s="38" t="inlineStr">
        <is>
          <t>No</t>
        </is>
      </c>
      <c r="D225" s="39" t="inlineStr">
        <is>
          <t>5119786</t>
        </is>
      </c>
      <c r="E225" s="38" t="inlineStr">
        <is>
          <t>LWOP - HCES SUPERUSER TRAINING</t>
        </is>
      </c>
      <c r="F225" s="44" t="n">
        <v>45652</v>
      </c>
      <c r="G225" s="40" t="n">
        <v>45653</v>
      </c>
      <c r="H225" s="44" t="n">
        <v>45653</v>
      </c>
      <c r="I225" s="41" t="n">
        <v>3</v>
      </c>
      <c r="J225" s="42" t="n">
        <v>3</v>
      </c>
      <c r="K225" s="38" t="inlineStr">
        <is>
          <t>TR 9</t>
        </is>
      </c>
      <c r="L225" s="38" t="inlineStr">
        <is>
          <t>TR 9</t>
        </is>
      </c>
      <c r="M225" s="38" t="inlineStr">
        <is>
          <t>--</t>
        </is>
      </c>
      <c r="N225" s="38" t="inlineStr">
        <is>
          <t>--</t>
        </is>
      </c>
      <c r="O225" s="38" t="inlineStr">
        <is>
          <t>JJH</t>
        </is>
      </c>
      <c r="Q225" s="62">
        <f>IF(C225="Yes", 1, IF(C225="no", 0, IF(C225= "tardy", SUM(J225/I225),"")))</f>
        <v/>
      </c>
      <c r="R225" s="62">
        <f>LEFT(Train_Log[[#This Row],[COURSE NAME:]],FIND(" - ", Train_Log[[#This Row],[COURSE NAME:]]) -1)</f>
        <v/>
      </c>
      <c r="S225" s="62">
        <f>MID(Train_Log[[#This Row],[COURSE NAME:]],FIND(" - ", Train_Log[[#This Row],[COURSE NAME:]]), 13)</f>
        <v/>
      </c>
      <c r="T225" s="62">
        <f>MID(E225, FIND(" - ", E225) + 3, LEN(E225)) &amp; "_" &amp; TEXT(F225, "yyyymmdd") &amp; "_" &amp; TEXT(H225, "yyyymmdd")</f>
        <v/>
      </c>
    </row>
    <row r="226">
      <c r="B226" s="38" t="inlineStr">
        <is>
          <t>EE28</t>
        </is>
      </c>
      <c r="C226" s="38" t="inlineStr">
        <is>
          <t>No</t>
        </is>
      </c>
      <c r="D226" s="39" t="inlineStr">
        <is>
          <t>4924594</t>
        </is>
      </c>
      <c r="E226" s="38" t="inlineStr">
        <is>
          <t>LWOP - HCES SUPERUSER TRAINING</t>
        </is>
      </c>
      <c r="F226" s="44" t="n">
        <v>45546</v>
      </c>
      <c r="G226" s="40" t="n">
        <v>45547</v>
      </c>
      <c r="H226" s="44" t="n">
        <v>45547</v>
      </c>
      <c r="I226" s="41" t="n">
        <v>4</v>
      </c>
      <c r="J226" s="42" t="n">
        <v>4</v>
      </c>
      <c r="K226" s="38" t="inlineStr">
        <is>
          <t>TR 4</t>
        </is>
      </c>
      <c r="L226" s="38" t="inlineStr">
        <is>
          <t>TR 3</t>
        </is>
      </c>
      <c r="M226" s="38" t="inlineStr">
        <is>
          <t>--</t>
        </is>
      </c>
      <c r="N226" s="38" t="inlineStr">
        <is>
          <t>--</t>
        </is>
      </c>
      <c r="O226" s="38" t="inlineStr">
        <is>
          <t>JJH</t>
        </is>
      </c>
      <c r="Q226" s="62">
        <f>IF(C226="Yes", 1, IF(C226="no", 0, IF(C226= "tardy", SUM(J226/I226),"")))</f>
        <v/>
      </c>
      <c r="R226" s="62">
        <f>LEFT(Train_Log[[#This Row],[COURSE NAME:]],FIND(" - ", Train_Log[[#This Row],[COURSE NAME:]]) -1)</f>
        <v/>
      </c>
      <c r="S226" s="62">
        <f>MID(Train_Log[[#This Row],[COURSE NAME:]],FIND(" - ", Train_Log[[#This Row],[COURSE NAME:]]), 13)</f>
        <v/>
      </c>
      <c r="T226" s="62">
        <f>MID(E226, FIND(" - ", E226) + 3, LEN(E226)) &amp; "_" &amp; TEXT(F226, "yyyymmdd") &amp; "_" &amp; TEXT(H226, "yyyymmdd")</f>
        <v/>
      </c>
    </row>
    <row r="227">
      <c r="B227" s="38" t="inlineStr">
        <is>
          <t>EE25</t>
        </is>
      </c>
      <c r="C227" s="38" t="inlineStr">
        <is>
          <t>No</t>
        </is>
      </c>
      <c r="D227" s="39" t="inlineStr">
        <is>
          <t>6941570</t>
        </is>
      </c>
      <c r="E227" s="38" t="inlineStr">
        <is>
          <t>PHONES - BENEFITS</t>
        </is>
      </c>
      <c r="F227" s="44" t="n">
        <v>45596</v>
      </c>
      <c r="G227" s="40" t="n">
        <v>45597</v>
      </c>
      <c r="H227" s="44" t="n">
        <v>45597</v>
      </c>
      <c r="I227" s="41" t="n">
        <v>4</v>
      </c>
      <c r="J227" s="42" t="n">
        <v>4</v>
      </c>
      <c r="K227" s="38" t="inlineStr">
        <is>
          <t>TR 4</t>
        </is>
      </c>
      <c r="L227" s="38" t="inlineStr">
        <is>
          <t>TR 3</t>
        </is>
      </c>
      <c r="M227" s="38" t="inlineStr">
        <is>
          <t>--</t>
        </is>
      </c>
      <c r="N227" s="38" t="inlineStr">
        <is>
          <t>--</t>
        </is>
      </c>
      <c r="O227" s="38" t="inlineStr">
        <is>
          <t>JJH</t>
        </is>
      </c>
      <c r="Q227" s="62">
        <f>IF(C227="Yes", 1, IF(C227="no", 0, IF(C227= "tardy", SUM(J227/I227),"")))</f>
        <v/>
      </c>
      <c r="R227" s="62">
        <f>LEFT(Train_Log[[#This Row],[COURSE NAME:]],FIND(" - ", Train_Log[[#This Row],[COURSE NAME:]]) -1)</f>
        <v/>
      </c>
      <c r="S227" s="62">
        <f>MID(Train_Log[[#This Row],[COURSE NAME:]],FIND(" - ", Train_Log[[#This Row],[COURSE NAME:]]), 13)</f>
        <v/>
      </c>
      <c r="T227" s="62">
        <f>MID(E227, FIND(" - ", E227) + 3, LEN(E227)) &amp; "_" &amp; TEXT(F227, "yyyymmdd") &amp; "_" &amp; TEXT(H227, "yyyymmdd")</f>
        <v/>
      </c>
    </row>
    <row r="228">
      <c r="B228" s="38" t="inlineStr">
        <is>
          <t>EE84</t>
        </is>
      </c>
      <c r="C228" s="38" t="inlineStr">
        <is>
          <t>No</t>
        </is>
      </c>
      <c r="D228" s="39" t="inlineStr">
        <is>
          <t>6718057</t>
        </is>
      </c>
      <c r="E228" s="38" t="inlineStr">
        <is>
          <t>LWOP - HCES SUPERUSER TRAINING</t>
        </is>
      </c>
      <c r="F228" s="44" t="n">
        <v>45493</v>
      </c>
      <c r="G228" s="40" t="n">
        <v>45493</v>
      </c>
      <c r="H228" s="44" t="n">
        <v>45493</v>
      </c>
      <c r="I228" s="41" t="n">
        <v>8</v>
      </c>
      <c r="J228" s="42" t="n">
        <v>8</v>
      </c>
      <c r="K228" s="38" t="inlineStr">
        <is>
          <t>TR 8</t>
        </is>
      </c>
      <c r="L228" s="38" t="inlineStr">
        <is>
          <t>TR 8</t>
        </is>
      </c>
      <c r="M228" s="38" t="inlineStr">
        <is>
          <t>--</t>
        </is>
      </c>
      <c r="N228" s="38" t="inlineStr">
        <is>
          <t>--</t>
        </is>
      </c>
      <c r="O228" s="38" t="inlineStr">
        <is>
          <t>JJH</t>
        </is>
      </c>
      <c r="Q228" s="62">
        <f>IF(C228="Yes", 1, IF(C228="no", 0, IF(C228= "tardy", SUM(J228/I228),"")))</f>
        <v/>
      </c>
      <c r="R228" s="62">
        <f>LEFT(Train_Log[[#This Row],[COURSE NAME:]],FIND(" - ", Train_Log[[#This Row],[COURSE NAME:]]) -1)</f>
        <v/>
      </c>
      <c r="S228" s="62">
        <f>MID(Train_Log[[#This Row],[COURSE NAME:]],FIND(" - ", Train_Log[[#This Row],[COURSE NAME:]]), 13)</f>
        <v/>
      </c>
      <c r="T228" s="62">
        <f>MID(E228, FIND(" - ", E228) + 3, LEN(E228)) &amp; "_" &amp; TEXT(F228, "yyyymmdd") &amp; "_" &amp; TEXT(H228, "yyyymmdd")</f>
        <v/>
      </c>
    </row>
    <row r="229">
      <c r="B229" s="38" t="inlineStr">
        <is>
          <t>EE79</t>
        </is>
      </c>
      <c r="C229" s="38" t="inlineStr">
        <is>
          <t>No</t>
        </is>
      </c>
      <c r="D229" s="39" t="inlineStr">
        <is>
          <t>4878736</t>
        </is>
      </c>
      <c r="E229" s="38" t="inlineStr">
        <is>
          <t>OPTIONAL RETIREMENTS - MAILBUILD</t>
        </is>
      </c>
      <c r="F229" s="44" t="n">
        <v>45322</v>
      </c>
      <c r="G229" s="40" t="n">
        <v>45322</v>
      </c>
      <c r="H229" s="44" t="n">
        <v>45322</v>
      </c>
      <c r="I229" s="41" t="n">
        <v>8</v>
      </c>
      <c r="J229" s="42" t="n">
        <v>8</v>
      </c>
      <c r="K229" s="38" t="inlineStr">
        <is>
          <t>TR 8</t>
        </is>
      </c>
      <c r="L229" s="38" t="inlineStr">
        <is>
          <t>TR 4</t>
        </is>
      </c>
      <c r="M229" s="38" t="inlineStr">
        <is>
          <t>--</t>
        </is>
      </c>
      <c r="N229" s="38" t="inlineStr">
        <is>
          <t>--</t>
        </is>
      </c>
      <c r="O229" s="38" t="inlineStr">
        <is>
          <t>JJH</t>
        </is>
      </c>
      <c r="Q229" s="62">
        <f>IF(C229="Yes", 1, IF(C229="no", 0, IF(C229= "tardy", SUM(J229/I229),"")))</f>
        <v/>
      </c>
      <c r="R229" s="62">
        <f>LEFT(Train_Log[[#This Row],[COURSE NAME:]],FIND(" - ", Train_Log[[#This Row],[COURSE NAME:]]) -1)</f>
        <v/>
      </c>
      <c r="S229" s="62">
        <f>MID(Train_Log[[#This Row],[COURSE NAME:]],FIND(" - ", Train_Log[[#This Row],[COURSE NAME:]]), 13)</f>
        <v/>
      </c>
      <c r="T229" s="62">
        <f>MID(E229, FIND(" - ", E229) + 3, LEN(E229)) &amp; "_" &amp; TEXT(F229, "yyyymmdd") &amp; "_" &amp; TEXT(H229, "yyyymmdd")</f>
        <v/>
      </c>
    </row>
    <row r="230">
      <c r="B230" s="38" t="inlineStr">
        <is>
          <t>EE56</t>
        </is>
      </c>
      <c r="C230" s="38" t="inlineStr">
        <is>
          <t>No</t>
        </is>
      </c>
      <c r="D230" s="39" t="inlineStr">
        <is>
          <t>5229678</t>
        </is>
      </c>
      <c r="E230" s="38" t="inlineStr">
        <is>
          <t>LWOP - HCES SUPERUSER TRAINING</t>
        </is>
      </c>
      <c r="F230" s="44" t="n">
        <v>45348</v>
      </c>
      <c r="G230" s="40" t="n">
        <v>45348</v>
      </c>
      <c r="H230" s="44" t="n">
        <v>45348</v>
      </c>
      <c r="I230" s="41" t="n">
        <v>8</v>
      </c>
      <c r="J230" s="42" t="n">
        <v>8</v>
      </c>
      <c r="K230" s="38" t="inlineStr">
        <is>
          <t>TR 8</t>
        </is>
      </c>
      <c r="L230" s="38" t="inlineStr">
        <is>
          <t>TR 5</t>
        </is>
      </c>
      <c r="M230" s="38" t="inlineStr">
        <is>
          <t>--</t>
        </is>
      </c>
      <c r="N230" s="38" t="inlineStr">
        <is>
          <t>--</t>
        </is>
      </c>
      <c r="O230" s="38" t="inlineStr">
        <is>
          <t>JJH</t>
        </is>
      </c>
      <c r="Q230" s="62">
        <f>IF(C230="Yes", 1, IF(C230="no", 0, IF(C230= "tardy", SUM(J230/I230),"")))</f>
        <v/>
      </c>
      <c r="R230" s="62">
        <f>LEFT(Train_Log[[#This Row],[COURSE NAME:]],FIND(" - ", Train_Log[[#This Row],[COURSE NAME:]]) -1)</f>
        <v/>
      </c>
      <c r="S230" s="62">
        <f>MID(Train_Log[[#This Row],[COURSE NAME:]],FIND(" - ", Train_Log[[#This Row],[COURSE NAME:]]), 13)</f>
        <v/>
      </c>
      <c r="T230" s="62">
        <f>MID(E230, FIND(" - ", E230) + 3, LEN(E230)) &amp; "_" &amp; TEXT(F230, "yyyymmdd") &amp; "_" &amp; TEXT(H230, "yyyymmdd")</f>
        <v/>
      </c>
    </row>
    <row r="231">
      <c r="B231" s="38" t="inlineStr">
        <is>
          <t>EE138</t>
        </is>
      </c>
      <c r="C231" s="38" t="inlineStr">
        <is>
          <t>No</t>
        </is>
      </c>
      <c r="D231" t="inlineStr">
        <is>
          <t>4671013</t>
        </is>
      </c>
      <c r="E231" s="38" t="inlineStr">
        <is>
          <t>PHONES - BENEFITS</t>
        </is>
      </c>
      <c r="F231" s="40" t="n">
        <v>45409</v>
      </c>
      <c r="G231" s="40" t="n">
        <v>45410</v>
      </c>
      <c r="H231" s="40" t="n">
        <v>45410</v>
      </c>
      <c r="I231" s="41" t="n">
        <v>3</v>
      </c>
      <c r="J231" s="41" t="n">
        <v>3</v>
      </c>
      <c r="K231" s="38" t="inlineStr">
        <is>
          <t>TR 6</t>
        </is>
      </c>
      <c r="L231" s="38" t="inlineStr">
        <is>
          <t>TR 7</t>
        </is>
      </c>
      <c r="M231" s="38" t="inlineStr">
        <is>
          <t>--</t>
        </is>
      </c>
      <c r="N231" s="38" t="inlineStr">
        <is>
          <t>--</t>
        </is>
      </c>
      <c r="O231" s="38" t="inlineStr">
        <is>
          <t>JJH</t>
        </is>
      </c>
      <c r="Q231" s="62">
        <f>IF(C231="Yes", 1, IF(C231="no", 0, IF(C231= "tardy", SUM(J231/I231),"")))</f>
        <v/>
      </c>
      <c r="R231" s="62">
        <f>LEFT(Train_Log[[#This Row],[COURSE NAME:]],FIND(" - ", Train_Log[[#This Row],[COURSE NAME:]]) -1)</f>
        <v/>
      </c>
      <c r="S231" s="62">
        <f>MID(Train_Log[[#This Row],[COURSE NAME:]],FIND(" - ", Train_Log[[#This Row],[COURSE NAME:]]), 13)</f>
        <v/>
      </c>
      <c r="T231" s="62">
        <f>MID(E231, FIND(" - ", E231) + 3, LEN(E231)) &amp; "_" &amp; TEXT(F231, "yyyymmdd") &amp; "_" &amp; TEXT(H231, "yyyymmdd")</f>
        <v/>
      </c>
    </row>
    <row r="232">
      <c r="B232" s="38" t="inlineStr">
        <is>
          <t>EE94</t>
        </is>
      </c>
      <c r="C232" s="38" t="inlineStr">
        <is>
          <t>No</t>
        </is>
      </c>
      <c r="D232" t="inlineStr">
        <is>
          <t>5132243</t>
        </is>
      </c>
      <c r="E232" s="38" t="inlineStr">
        <is>
          <t>PHONES - BENEFITS</t>
        </is>
      </c>
      <c r="F232" s="40" t="n">
        <v>45709</v>
      </c>
      <c r="G232" s="40" t="n">
        <v>45709</v>
      </c>
      <c r="H232" s="40" t="n">
        <v>45709</v>
      </c>
      <c r="I232" s="41" t="n">
        <v>2</v>
      </c>
      <c r="J232" s="41" t="n">
        <v>2</v>
      </c>
      <c r="K232" s="38" t="inlineStr">
        <is>
          <t>TR 6</t>
        </is>
      </c>
      <c r="L232" s="38" t="inlineStr">
        <is>
          <t>TR 9</t>
        </is>
      </c>
      <c r="M232" s="38" t="inlineStr">
        <is>
          <t>--</t>
        </is>
      </c>
      <c r="N232" s="38" t="inlineStr">
        <is>
          <t>--</t>
        </is>
      </c>
      <c r="O232" s="38" t="inlineStr">
        <is>
          <t>JJH</t>
        </is>
      </c>
      <c r="P232" s="50" t="n"/>
      <c r="Q232" s="62">
        <f>IF(C232="Yes", 1, IF(C232="no", 0, IF(C232= "tardy", SUM(J232/I232),"")))</f>
        <v/>
      </c>
      <c r="R232" s="62">
        <f>LEFT(Train_Log[[#This Row],[COURSE NAME:]],FIND(" - ", Train_Log[[#This Row],[COURSE NAME:]]) -1)</f>
        <v/>
      </c>
      <c r="S232" s="62">
        <f>MID(Train_Log[[#This Row],[COURSE NAME:]],FIND(" - ", Train_Log[[#This Row],[COURSE NAME:]]), 13)</f>
        <v/>
      </c>
      <c r="T232" s="62">
        <f>MID(E232, FIND(" - ", E232) + 3, LEN(E232)) &amp; "_" &amp; TEXT(F232, "yyyymmdd") &amp; "_" &amp; TEXT(H232, "yyyymmdd")</f>
        <v/>
      </c>
    </row>
    <row r="233">
      <c r="B233" s="38" t="inlineStr">
        <is>
          <t>EE74</t>
        </is>
      </c>
      <c r="C233" s="38" t="inlineStr">
        <is>
          <t>No</t>
        </is>
      </c>
      <c r="D233" s="39" t="inlineStr">
        <is>
          <t>6666253</t>
        </is>
      </c>
      <c r="E233" s="38" t="inlineStr">
        <is>
          <t>PHONES - EMPLOYMENT VERIFICATION</t>
        </is>
      </c>
      <c r="F233" s="40" t="n">
        <v>45694</v>
      </c>
      <c r="G233" s="40" t="n">
        <v>45696</v>
      </c>
      <c r="H233" s="40" t="n">
        <v>45696</v>
      </c>
      <c r="I233" s="41" t="n">
        <v>8</v>
      </c>
      <c r="J233" s="41" t="n">
        <v>8</v>
      </c>
      <c r="K233" s="38" t="inlineStr">
        <is>
          <t>TR 5</t>
        </is>
      </c>
      <c r="L233" s="38" t="inlineStr">
        <is>
          <t>TR 10</t>
        </is>
      </c>
      <c r="M233" s="38" t="inlineStr">
        <is>
          <t>--</t>
        </is>
      </c>
      <c r="N233" s="38" t="inlineStr">
        <is>
          <t>--</t>
        </is>
      </c>
      <c r="O233" s="38" t="inlineStr">
        <is>
          <t>JJH</t>
        </is>
      </c>
      <c r="P233" s="44" t="n"/>
      <c r="Q233" s="62">
        <f>IF(C233="Yes", 1, IF(C233="no", 0, IF(C233= "tardy", SUM(J233/I233),"")))</f>
        <v/>
      </c>
      <c r="R233" s="62">
        <f>LEFT(Train_Log[[#This Row],[COURSE NAME:]],FIND(" - ", Train_Log[[#This Row],[COURSE NAME:]]) -1)</f>
        <v/>
      </c>
      <c r="S233" s="62">
        <f>MID(Train_Log[[#This Row],[COURSE NAME:]],FIND(" - ", Train_Log[[#This Row],[COURSE NAME:]]), 13)</f>
        <v/>
      </c>
      <c r="T233" s="62">
        <f>MID(E233, FIND(" - ", E233) + 3, LEN(E233)) &amp; "_" &amp; TEXT(F233, "yyyymmdd") &amp; "_" &amp; TEXT(H233, "yyyymmdd")</f>
        <v/>
      </c>
    </row>
    <row r="234">
      <c r="B234" s="38" t="inlineStr">
        <is>
          <t>EE175</t>
        </is>
      </c>
      <c r="C234" s="38" t="inlineStr">
        <is>
          <t>No</t>
        </is>
      </c>
      <c r="D234" s="39" t="inlineStr">
        <is>
          <t>4641054</t>
        </is>
      </c>
      <c r="E234" s="38" t="inlineStr">
        <is>
          <t>PHONES - EMPLOYMENT VERIFICATION</t>
        </is>
      </c>
      <c r="F234" s="40" t="n">
        <v>45430</v>
      </c>
      <c r="G234" s="40" t="n">
        <v>45430</v>
      </c>
      <c r="H234" s="40" t="n">
        <v>45430</v>
      </c>
      <c r="I234" s="41" t="n">
        <v>3</v>
      </c>
      <c r="J234" s="41" t="n">
        <v>3</v>
      </c>
      <c r="K234" s="38" t="inlineStr">
        <is>
          <t>TR 9</t>
        </is>
      </c>
      <c r="L234" s="38" t="inlineStr">
        <is>
          <t>TR 6</t>
        </is>
      </c>
      <c r="M234" s="38" t="inlineStr">
        <is>
          <t>--</t>
        </is>
      </c>
      <c r="N234" s="38" t="inlineStr">
        <is>
          <t>--</t>
        </is>
      </c>
      <c r="O234" s="38" t="inlineStr">
        <is>
          <t>JJH</t>
        </is>
      </c>
      <c r="P234" s="44" t="n"/>
      <c r="Q234" s="62">
        <f>IF(C234="Yes", 1, IF(C234="no", 0, IF(C234= "tardy", SUM(J234/I234),"")))</f>
        <v/>
      </c>
      <c r="R234" s="62">
        <f>LEFT(Train_Log[[#This Row],[COURSE NAME:]],FIND(" - ", Train_Log[[#This Row],[COURSE NAME:]]) -1)</f>
        <v/>
      </c>
      <c r="S234" s="62">
        <f>MID(Train_Log[[#This Row],[COURSE NAME:]],FIND(" - ", Train_Log[[#This Row],[COURSE NAME:]]), 13)</f>
        <v/>
      </c>
      <c r="T234" s="62">
        <f>MID(E234, FIND(" - ", E234) + 3, LEN(E234)) &amp; "_" &amp; TEXT(F234, "yyyymmdd") &amp; "_" &amp; TEXT(H234, "yyyymmdd")</f>
        <v/>
      </c>
    </row>
    <row r="235">
      <c r="B235" s="38" t="inlineStr">
        <is>
          <t>EE37</t>
        </is>
      </c>
      <c r="C235" s="38" t="inlineStr">
        <is>
          <t>No</t>
        </is>
      </c>
      <c r="D235" t="inlineStr">
        <is>
          <t>5165476</t>
        </is>
      </c>
      <c r="E235" s="38" t="inlineStr">
        <is>
          <t>SUPPORT - TRAINING - PTSP TRAINING</t>
        </is>
      </c>
      <c r="F235" s="40" t="n">
        <v>45820</v>
      </c>
      <c r="G235" s="40" t="n">
        <v>45821</v>
      </c>
      <c r="H235" s="40" t="n">
        <v>45821</v>
      </c>
      <c r="I235" s="41" t="n">
        <v>2</v>
      </c>
      <c r="J235" s="41" t="n">
        <v>2</v>
      </c>
      <c r="K235" s="38" t="inlineStr">
        <is>
          <t>TR 1</t>
        </is>
      </c>
      <c r="L235" s="38" t="inlineStr">
        <is>
          <t>TR 3</t>
        </is>
      </c>
      <c r="M235" s="38" t="inlineStr">
        <is>
          <t>--</t>
        </is>
      </c>
      <c r="N235" s="38" t="inlineStr">
        <is>
          <t>--</t>
        </is>
      </c>
      <c r="O235" s="38" t="inlineStr">
        <is>
          <t>JJH</t>
        </is>
      </c>
      <c r="Q235" s="62">
        <f>IF(C235="Yes", 1, IF(C235="no", 0, IF(C235= "tardy", SUM(J235/I235),"")))</f>
        <v/>
      </c>
      <c r="R235" s="62">
        <f>LEFT(Train_Log[[#This Row],[COURSE NAME:]],FIND(" - ", Train_Log[[#This Row],[COURSE NAME:]]) -1)</f>
        <v/>
      </c>
      <c r="S235" s="62">
        <f>MID(Train_Log[[#This Row],[COURSE NAME:]],FIND(" - ", Train_Log[[#This Row],[COURSE NAME:]]), 13)</f>
        <v/>
      </c>
      <c r="T235" s="62">
        <f>MID(E235, FIND(" - ", E235) + 3, LEN(E235)) &amp; "_" &amp; TEXT(F235, "yyyymmdd") &amp; "_" &amp; TEXT(H235, "yyyymmdd")</f>
        <v/>
      </c>
    </row>
    <row r="236">
      <c r="B236" s="38" t="inlineStr">
        <is>
          <t>EE183</t>
        </is>
      </c>
      <c r="C236" s="38" t="inlineStr">
        <is>
          <t>No</t>
        </is>
      </c>
      <c r="D236" t="inlineStr">
        <is>
          <t>6049360</t>
        </is>
      </c>
      <c r="E236" s="38" t="inlineStr">
        <is>
          <t>LWOP - HCES SUPERUSER TRAINING</t>
        </is>
      </c>
      <c r="F236" s="40" t="n">
        <v>45784</v>
      </c>
      <c r="G236" s="40" t="n">
        <v>45786</v>
      </c>
      <c r="H236" s="40" t="n">
        <v>45786</v>
      </c>
      <c r="I236" s="41" t="n">
        <v>8</v>
      </c>
      <c r="J236" s="41" t="n">
        <v>8</v>
      </c>
      <c r="K236" s="38" t="inlineStr">
        <is>
          <t>TR 9</t>
        </is>
      </c>
      <c r="L236" s="38" t="inlineStr">
        <is>
          <t>TR 3</t>
        </is>
      </c>
      <c r="M236" s="38" t="inlineStr">
        <is>
          <t>--</t>
        </is>
      </c>
      <c r="N236" s="38" t="inlineStr">
        <is>
          <t>--</t>
        </is>
      </c>
      <c r="O236" s="38" t="inlineStr">
        <is>
          <t>JJH</t>
        </is>
      </c>
      <c r="P236" s="59" t="n"/>
      <c r="Q236" s="62">
        <f>IF(C236="Yes", 1, IF(C236="no", 0, IF(C236= "tardy", SUM(J236/I236),"")))</f>
        <v/>
      </c>
      <c r="R236" s="62">
        <f>LEFT(Train_Log[[#This Row],[COURSE NAME:]],FIND(" - ", Train_Log[[#This Row],[COURSE NAME:]]) -1)</f>
        <v/>
      </c>
      <c r="S236" s="62">
        <f>MID(Train_Log[[#This Row],[COURSE NAME:]],FIND(" - ", Train_Log[[#This Row],[COURSE NAME:]]), 13)</f>
        <v/>
      </c>
      <c r="T236" s="62">
        <f>MID(E236, FIND(" - ", E236) + 3, LEN(E236)) &amp; "_" &amp; TEXT(F236, "yyyymmdd") &amp; "_" &amp; TEXT(H236, "yyyymmdd")</f>
        <v/>
      </c>
    </row>
    <row r="237">
      <c r="B237" s="38" t="inlineStr">
        <is>
          <t>EE84</t>
        </is>
      </c>
      <c r="C237" s="38" t="inlineStr">
        <is>
          <t>No</t>
        </is>
      </c>
      <c r="D237" t="inlineStr">
        <is>
          <t>6718057</t>
        </is>
      </c>
      <c r="E237" s="38" t="inlineStr">
        <is>
          <t>LWOP - HCES SUPERUSER TRAINING</t>
        </is>
      </c>
      <c r="F237" s="40" t="n">
        <v>45465</v>
      </c>
      <c r="G237" s="40" t="n">
        <v>45466</v>
      </c>
      <c r="H237" s="40" t="n">
        <v>45466</v>
      </c>
      <c r="I237" s="41" t="n">
        <v>3</v>
      </c>
      <c r="J237" s="41" t="n">
        <v>3</v>
      </c>
      <c r="K237" s="38" t="inlineStr">
        <is>
          <t>TR 10</t>
        </is>
      </c>
      <c r="L237" s="38" t="inlineStr">
        <is>
          <t>TR 6</t>
        </is>
      </c>
      <c r="M237" s="38" t="inlineStr">
        <is>
          <t>--</t>
        </is>
      </c>
      <c r="N237" s="38" t="inlineStr">
        <is>
          <t>--</t>
        </is>
      </c>
      <c r="O237" s="38" t="inlineStr">
        <is>
          <t>JJH</t>
        </is>
      </c>
      <c r="P237" s="59" t="n"/>
      <c r="Q237" s="62">
        <f>IF(C237="Yes", 1, IF(C237="no", 0, IF(C237= "tardy", SUM(J237/I237),"")))</f>
        <v/>
      </c>
      <c r="R237" s="62">
        <f>LEFT(Train_Log[[#This Row],[COURSE NAME:]],FIND(" - ", Train_Log[[#This Row],[COURSE NAME:]]) -1)</f>
        <v/>
      </c>
      <c r="S237" s="62">
        <f>MID(Train_Log[[#This Row],[COURSE NAME:]],FIND(" - ", Train_Log[[#This Row],[COURSE NAME:]]), 13)</f>
        <v/>
      </c>
      <c r="T237" s="62">
        <f>MID(E237, FIND(" - ", E237) + 3, LEN(E237)) &amp; "_" &amp; TEXT(F237, "yyyymmdd") &amp; "_" &amp; TEXT(H237, "yyyymmdd")</f>
        <v/>
      </c>
    </row>
    <row r="238">
      <c r="B238" s="38" t="inlineStr">
        <is>
          <t>EE130</t>
        </is>
      </c>
      <c r="C238" s="38" t="inlineStr">
        <is>
          <t>No</t>
        </is>
      </c>
      <c r="D238" t="inlineStr">
        <is>
          <t>4580205</t>
        </is>
      </c>
      <c r="E238" s="38" t="inlineStr">
        <is>
          <t>OPTIONAL RETIREMENTS - MAILBUILD</t>
        </is>
      </c>
      <c r="F238" s="40" t="n">
        <v>45605</v>
      </c>
      <c r="G238" s="40" t="n">
        <v>45606</v>
      </c>
      <c r="H238" s="40" t="n">
        <v>45606</v>
      </c>
      <c r="I238" s="41" t="n">
        <v>3</v>
      </c>
      <c r="J238" s="41" t="n">
        <v>3</v>
      </c>
      <c r="K238" s="38" t="inlineStr">
        <is>
          <t>TR 6</t>
        </is>
      </c>
      <c r="L238" s="38" t="inlineStr">
        <is>
          <t>--</t>
        </is>
      </c>
      <c r="M238" s="38" t="inlineStr">
        <is>
          <t>--</t>
        </is>
      </c>
      <c r="N238" s="38" t="inlineStr">
        <is>
          <t>--</t>
        </is>
      </c>
      <c r="O238" s="38" t="inlineStr">
        <is>
          <t>JJH</t>
        </is>
      </c>
      <c r="P238" s="59" t="n"/>
      <c r="Q238" s="62">
        <f>IF(C238="Yes", 1, IF(C238="no", 0, IF(C238= "tardy", SUM(J238/I238),"")))</f>
        <v/>
      </c>
      <c r="R238" s="62">
        <f>LEFT(Train_Log[[#This Row],[COURSE NAME:]],FIND(" - ", Train_Log[[#This Row],[COURSE NAME:]]) -1)</f>
        <v/>
      </c>
      <c r="S238" s="62">
        <f>MID(Train_Log[[#This Row],[COURSE NAME:]],FIND(" - ", Train_Log[[#This Row],[COURSE NAME:]]), 13)</f>
        <v/>
      </c>
      <c r="T238" s="62">
        <f>MID(E238, FIND(" - ", E238) + 3, LEN(E238)) &amp; "_" &amp; TEXT(F238, "yyyymmdd") &amp; "_" &amp; TEXT(H238, "yyyymmdd")</f>
        <v/>
      </c>
    </row>
    <row r="239">
      <c r="B239" s="38" t="inlineStr">
        <is>
          <t>EE29</t>
        </is>
      </c>
      <c r="C239" s="38" t="inlineStr">
        <is>
          <t>No</t>
        </is>
      </c>
      <c r="D239" t="inlineStr">
        <is>
          <t>5884119</t>
        </is>
      </c>
      <c r="E239" s="38" t="inlineStr">
        <is>
          <t>LWOP - HCES SU FACILITATION TRAINING</t>
        </is>
      </c>
      <c r="F239" s="40" t="n">
        <v>45614</v>
      </c>
      <c r="G239" s="40" t="n">
        <v>45618</v>
      </c>
      <c r="H239" s="40" t="n">
        <v>45618</v>
      </c>
      <c r="I239" s="41" t="n">
        <v>2</v>
      </c>
      <c r="J239" s="41" t="n">
        <v>2</v>
      </c>
      <c r="K239" s="38" t="inlineStr">
        <is>
          <t>TR 10</t>
        </is>
      </c>
      <c r="L239" s="38" t="inlineStr">
        <is>
          <t>TR 8</t>
        </is>
      </c>
      <c r="M239" s="38" t="inlineStr">
        <is>
          <t>--</t>
        </is>
      </c>
      <c r="N239" s="38" t="inlineStr">
        <is>
          <t>--</t>
        </is>
      </c>
      <c r="O239" s="38" t="inlineStr">
        <is>
          <t>JJH</t>
        </is>
      </c>
      <c r="P239" s="59" t="n"/>
      <c r="Q239" s="62">
        <f>IF(C239="Yes", 1, IF(C239="no", 0, IF(C239= "tardy", SUM(J239/I239),"")))</f>
        <v/>
      </c>
      <c r="R239" s="62">
        <f>LEFT(Train_Log[[#This Row],[COURSE NAME:]],FIND(" - ", Train_Log[[#This Row],[COURSE NAME:]]) -1)</f>
        <v/>
      </c>
      <c r="S239" s="62">
        <f>MID(Train_Log[[#This Row],[COURSE NAME:]],FIND(" - ", Train_Log[[#This Row],[COURSE NAME:]]), 13)</f>
        <v/>
      </c>
      <c r="T239" s="62">
        <f>MID(E239, FIND(" - ", E239) + 3, LEN(E239)) &amp; "_" &amp; TEXT(F239, "yyyymmdd") &amp; "_" &amp; TEXT(H239, "yyyymmdd")</f>
        <v/>
      </c>
    </row>
    <row r="240">
      <c r="B240" s="38" t="inlineStr">
        <is>
          <t>EE68</t>
        </is>
      </c>
      <c r="C240" s="38" t="inlineStr">
        <is>
          <t>No</t>
        </is>
      </c>
      <c r="D240" s="39" t="inlineStr">
        <is>
          <t>4334671</t>
        </is>
      </c>
      <c r="E240" s="38" t="inlineStr">
        <is>
          <t>SUPPORT - TRAINING - PTSP TRAINING</t>
        </is>
      </c>
      <c r="F240" s="44" t="n">
        <v>45351</v>
      </c>
      <c r="G240" s="40" t="n">
        <v>45353</v>
      </c>
      <c r="H240" s="44" t="n">
        <v>45353</v>
      </c>
      <c r="I240" s="41" t="n">
        <v>8</v>
      </c>
      <c r="J240" s="42" t="n">
        <v>8</v>
      </c>
      <c r="K240" s="38" t="inlineStr">
        <is>
          <t>TR 10</t>
        </is>
      </c>
      <c r="L240" s="38" t="inlineStr">
        <is>
          <t>TR 7</t>
        </is>
      </c>
      <c r="M240" s="38" t="inlineStr">
        <is>
          <t>--</t>
        </is>
      </c>
      <c r="N240" s="38" t="inlineStr">
        <is>
          <t>--</t>
        </is>
      </c>
      <c r="O240" s="38" t="inlineStr">
        <is>
          <t>JJH</t>
        </is>
      </c>
      <c r="Q240" s="62">
        <f>IF(C240="Yes", 1, IF(C240="no", 0, IF(C240= "tardy", SUM(J240/I240),"")))</f>
        <v/>
      </c>
      <c r="R240" s="62">
        <f>LEFT(Train_Log[[#This Row],[COURSE NAME:]],FIND(" - ", Train_Log[[#This Row],[COURSE NAME:]]) -1)</f>
        <v/>
      </c>
      <c r="S240" s="62">
        <f>MID(Train_Log[[#This Row],[COURSE NAME:]],FIND(" - ", Train_Log[[#This Row],[COURSE NAME:]]), 13)</f>
        <v/>
      </c>
      <c r="T240" s="62">
        <f>MID(E240, FIND(" - ", E240) + 3, LEN(E240)) &amp; "_" &amp; TEXT(F240, "yyyymmdd") &amp; "_" &amp; TEXT(H240, "yyyymmdd")</f>
        <v/>
      </c>
    </row>
    <row r="241">
      <c r="B241" s="38" t="inlineStr">
        <is>
          <t>EE38</t>
        </is>
      </c>
      <c r="C241" s="38" t="inlineStr">
        <is>
          <t>No</t>
        </is>
      </c>
      <c r="D241" s="39" t="inlineStr">
        <is>
          <t>4652128</t>
        </is>
      </c>
      <c r="E241" s="38" t="inlineStr">
        <is>
          <t>SUPPORT - TRAINING - PTSP TRAINING</t>
        </is>
      </c>
      <c r="F241" s="44" t="n">
        <v>45331</v>
      </c>
      <c r="G241" s="40" t="n">
        <v>45333</v>
      </c>
      <c r="H241" s="44" t="n">
        <v>45333</v>
      </c>
      <c r="I241" s="41" t="n">
        <v>2</v>
      </c>
      <c r="J241" s="42" t="n">
        <v>2</v>
      </c>
      <c r="K241" s="38" t="inlineStr">
        <is>
          <t>TR 4</t>
        </is>
      </c>
      <c r="L241" s="38" t="inlineStr">
        <is>
          <t>TR 1</t>
        </is>
      </c>
      <c r="M241" s="38" t="inlineStr">
        <is>
          <t>--</t>
        </is>
      </c>
      <c r="N241" s="38" t="inlineStr">
        <is>
          <t>--</t>
        </is>
      </c>
      <c r="O241" s="38" t="inlineStr">
        <is>
          <t>JJH</t>
        </is>
      </c>
      <c r="Q241" s="62">
        <f>IF(C241="Yes", 1, IF(C241="no", 0, IF(C241= "tardy", SUM(J241/I241),"")))</f>
        <v/>
      </c>
      <c r="R241" s="62">
        <f>LEFT(Train_Log[[#This Row],[COURSE NAME:]],FIND(" - ", Train_Log[[#This Row],[COURSE NAME:]]) -1)</f>
        <v/>
      </c>
      <c r="S241" s="62">
        <f>MID(Train_Log[[#This Row],[COURSE NAME:]],FIND(" - ", Train_Log[[#This Row],[COURSE NAME:]]), 13)</f>
        <v/>
      </c>
      <c r="T241" s="62">
        <f>MID(E241, FIND(" - ", E241) + 3, LEN(E241)) &amp; "_" &amp; TEXT(F241, "yyyymmdd") &amp; "_" &amp; TEXT(H241, "yyyymmdd")</f>
        <v/>
      </c>
    </row>
    <row r="242">
      <c r="B242" s="38" t="inlineStr">
        <is>
          <t>EE113</t>
        </is>
      </c>
      <c r="C242" s="38" t="inlineStr">
        <is>
          <t>No</t>
        </is>
      </c>
      <c r="D242" s="39" t="inlineStr">
        <is>
          <t>6093927</t>
        </is>
      </c>
      <c r="E242" s="38" t="inlineStr">
        <is>
          <t>LWOP - HCES SUPERUSER TRAINING</t>
        </is>
      </c>
      <c r="F242" s="44" t="n">
        <v>45727</v>
      </c>
      <c r="G242" s="40" t="n">
        <v>45727</v>
      </c>
      <c r="H242" s="44" t="n">
        <v>45727</v>
      </c>
      <c r="I242" s="41" t="n">
        <v>2</v>
      </c>
      <c r="J242" s="42" t="n">
        <v>2</v>
      </c>
      <c r="K242" s="38" t="inlineStr">
        <is>
          <t>TR 7</t>
        </is>
      </c>
      <c r="L242" s="38" t="inlineStr">
        <is>
          <t>TR 9</t>
        </is>
      </c>
      <c r="M242" s="38" t="inlineStr">
        <is>
          <t>--</t>
        </is>
      </c>
      <c r="N242" s="38" t="inlineStr">
        <is>
          <t>--</t>
        </is>
      </c>
      <c r="O242" s="38" t="inlineStr">
        <is>
          <t>JJH</t>
        </is>
      </c>
      <c r="Q242" s="62">
        <f>IF(C242="Yes", 1, IF(C242="no", 0, IF(C242= "tardy", SUM(J242/I242),"")))</f>
        <v/>
      </c>
      <c r="R242" s="62">
        <f>LEFT(Train_Log[[#This Row],[COURSE NAME:]],FIND(" - ", Train_Log[[#This Row],[COURSE NAME:]]) -1)</f>
        <v/>
      </c>
      <c r="S242" s="62">
        <f>MID(Train_Log[[#This Row],[COURSE NAME:]],FIND(" - ", Train_Log[[#This Row],[COURSE NAME:]]), 13)</f>
        <v/>
      </c>
      <c r="T242" s="62">
        <f>MID(E242, FIND(" - ", E242) + 3, LEN(E242)) &amp; "_" &amp; TEXT(F242, "yyyymmdd") &amp; "_" &amp; TEXT(H242, "yyyymmdd")</f>
        <v/>
      </c>
    </row>
    <row r="243">
      <c r="B243" s="38" t="inlineStr">
        <is>
          <t>EE157</t>
        </is>
      </c>
      <c r="C243" s="38" t="inlineStr">
        <is>
          <t>No</t>
        </is>
      </c>
      <c r="D243" s="39" t="inlineStr">
        <is>
          <t>5426799</t>
        </is>
      </c>
      <c r="E243" s="38" t="inlineStr">
        <is>
          <t>OPTIONAL RETIREMENTS - MAILBUILD</t>
        </is>
      </c>
      <c r="F243" s="44" t="n">
        <v>45362</v>
      </c>
      <c r="G243" s="40" t="n">
        <v>45366</v>
      </c>
      <c r="H243" s="44" t="n">
        <v>45366</v>
      </c>
      <c r="I243" s="41" t="n">
        <v>2</v>
      </c>
      <c r="J243" s="42" t="n">
        <v>2</v>
      </c>
      <c r="K243" s="38" t="inlineStr">
        <is>
          <t>TR 9</t>
        </is>
      </c>
      <c r="L243" s="38" t="inlineStr">
        <is>
          <t>TR 6</t>
        </is>
      </c>
      <c r="M243" s="38" t="inlineStr">
        <is>
          <t>--</t>
        </is>
      </c>
      <c r="N243" s="38" t="inlineStr">
        <is>
          <t>--</t>
        </is>
      </c>
      <c r="O243" s="38" t="inlineStr">
        <is>
          <t>JJH</t>
        </is>
      </c>
      <c r="Q243" s="62">
        <f>IF(C243="Yes", 1, IF(C243="no", 0, IF(C243= "tardy", SUM(J243/I243),"")))</f>
        <v/>
      </c>
      <c r="R243" s="62">
        <f>LEFT(Train_Log[[#This Row],[COURSE NAME:]],FIND(" - ", Train_Log[[#This Row],[COURSE NAME:]]) -1)</f>
        <v/>
      </c>
      <c r="S243" s="62">
        <f>MID(Train_Log[[#This Row],[COURSE NAME:]],FIND(" - ", Train_Log[[#This Row],[COURSE NAME:]]), 13)</f>
        <v/>
      </c>
      <c r="T243" s="62">
        <f>MID(E243, FIND(" - ", E243) + 3, LEN(E243)) &amp; "_" &amp; TEXT(F243, "yyyymmdd") &amp; "_" &amp; TEXT(H243, "yyyymmdd")</f>
        <v/>
      </c>
    </row>
    <row r="244">
      <c r="B244" s="38" t="inlineStr">
        <is>
          <t>EE170</t>
        </is>
      </c>
      <c r="C244" s="38" t="inlineStr">
        <is>
          <t>No</t>
        </is>
      </c>
      <c r="D244" s="39" t="inlineStr">
        <is>
          <t>5251768</t>
        </is>
      </c>
      <c r="E244" s="38" t="inlineStr">
        <is>
          <t>OPTIONAL RETIREMENTS - MAILBUILD</t>
        </is>
      </c>
      <c r="F244" s="44" t="n">
        <v>45684</v>
      </c>
      <c r="G244" s="40" t="n">
        <v>45684</v>
      </c>
      <c r="H244" s="44" t="n">
        <v>45684</v>
      </c>
      <c r="I244" s="41" t="n">
        <v>4</v>
      </c>
      <c r="J244" s="42" t="n">
        <v>4</v>
      </c>
      <c r="K244" s="38" t="inlineStr">
        <is>
          <t>TR 9</t>
        </is>
      </c>
      <c r="L244" s="38" t="inlineStr">
        <is>
          <t>TR 6</t>
        </is>
      </c>
      <c r="M244" s="38" t="inlineStr">
        <is>
          <t>--</t>
        </is>
      </c>
      <c r="N244" s="38" t="inlineStr">
        <is>
          <t>--</t>
        </is>
      </c>
      <c r="O244" s="38" t="inlineStr">
        <is>
          <t>JJH</t>
        </is>
      </c>
      <c r="Q244" s="62">
        <f>IF(C244="Yes", 1, IF(C244="no", 0, IF(C244= "tardy", SUM(J244/I244),"")))</f>
        <v/>
      </c>
      <c r="R244" s="62">
        <f>LEFT(Train_Log[[#This Row],[COURSE NAME:]],FIND(" - ", Train_Log[[#This Row],[COURSE NAME:]]) -1)</f>
        <v/>
      </c>
      <c r="S244" s="62">
        <f>MID(Train_Log[[#This Row],[COURSE NAME:]],FIND(" - ", Train_Log[[#This Row],[COURSE NAME:]]), 13)</f>
        <v/>
      </c>
      <c r="T244" s="62">
        <f>MID(E244, FIND(" - ", E244) + 3, LEN(E244)) &amp; "_" &amp; TEXT(F244, "yyyymmdd") &amp; "_" &amp; TEXT(H244, "yyyymmdd")</f>
        <v/>
      </c>
    </row>
    <row r="245">
      <c r="B245" s="38" t="inlineStr">
        <is>
          <t>EE140</t>
        </is>
      </c>
      <c r="C245" s="38" t="inlineStr">
        <is>
          <t>No</t>
        </is>
      </c>
      <c r="D245" s="39" t="inlineStr">
        <is>
          <t>5770667</t>
        </is>
      </c>
      <c r="E245" s="38" t="inlineStr">
        <is>
          <t>LWOP - HCES SUPERUSER TRAINING</t>
        </is>
      </c>
      <c r="F245" s="44" t="n">
        <v>45569</v>
      </c>
      <c r="G245" s="40" t="n">
        <v>45571</v>
      </c>
      <c r="H245" s="44" t="n">
        <v>45571</v>
      </c>
      <c r="I245" s="41" t="n">
        <v>2</v>
      </c>
      <c r="J245" s="42" t="n">
        <v>2</v>
      </c>
      <c r="K245" s="38" t="inlineStr">
        <is>
          <t>TR 5</t>
        </is>
      </c>
      <c r="L245" s="38" t="inlineStr">
        <is>
          <t>TR 9</t>
        </is>
      </c>
      <c r="M245" s="38" t="inlineStr">
        <is>
          <t>--</t>
        </is>
      </c>
      <c r="N245" s="38" t="inlineStr">
        <is>
          <t>--</t>
        </is>
      </c>
      <c r="O245" s="38" t="inlineStr">
        <is>
          <t>JJH</t>
        </is>
      </c>
      <c r="Q245" s="62">
        <f>IF(C245="Yes", 1, IF(C245="no", 0, IF(C245= "tardy", SUM(J245/I245),"")))</f>
        <v/>
      </c>
      <c r="R245" s="62">
        <f>LEFT(Train_Log[[#This Row],[COURSE NAME:]],FIND(" - ", Train_Log[[#This Row],[COURSE NAME:]]) -1)</f>
        <v/>
      </c>
      <c r="S245" s="62">
        <f>MID(Train_Log[[#This Row],[COURSE NAME:]],FIND(" - ", Train_Log[[#This Row],[COURSE NAME:]]), 13)</f>
        <v/>
      </c>
      <c r="T245" s="62">
        <f>MID(E245, FIND(" - ", E245) + 3, LEN(E245)) &amp; "_" &amp; TEXT(F245, "yyyymmdd") &amp; "_" &amp; TEXT(H245, "yyyymmdd")</f>
        <v/>
      </c>
    </row>
    <row r="246">
      <c r="B246" s="38" t="inlineStr">
        <is>
          <t>EE77</t>
        </is>
      </c>
      <c r="C246" s="38" t="inlineStr">
        <is>
          <t>No</t>
        </is>
      </c>
      <c r="D246" s="39" t="inlineStr">
        <is>
          <t>5552651</t>
        </is>
      </c>
      <c r="E246" s="38" t="inlineStr">
        <is>
          <t>SUPPORT - TRAINING - PTSP TRAINING</t>
        </is>
      </c>
      <c r="F246" s="44" t="n">
        <v>45603</v>
      </c>
      <c r="G246" s="40" t="n">
        <v>45603</v>
      </c>
      <c r="H246" s="44" t="n">
        <v>45603</v>
      </c>
      <c r="I246" s="41" t="n">
        <v>4</v>
      </c>
      <c r="J246" s="42" t="n">
        <v>4</v>
      </c>
      <c r="K246" s="38" t="inlineStr">
        <is>
          <t>TR 6</t>
        </is>
      </c>
      <c r="L246" s="38" t="inlineStr">
        <is>
          <t>TR 8</t>
        </is>
      </c>
      <c r="M246" s="38" t="inlineStr">
        <is>
          <t>--</t>
        </is>
      </c>
      <c r="N246" s="38" t="inlineStr">
        <is>
          <t>--</t>
        </is>
      </c>
      <c r="O246" s="38" t="inlineStr">
        <is>
          <t>JJH</t>
        </is>
      </c>
      <c r="Q246" s="62">
        <f>IF(C246="Yes", 1, IF(C246="no", 0, IF(C246= "tardy", SUM(J246/I246),"")))</f>
        <v/>
      </c>
      <c r="R246" s="62">
        <f>LEFT(Train_Log[[#This Row],[COURSE NAME:]],FIND(" - ", Train_Log[[#This Row],[COURSE NAME:]]) -1)</f>
        <v/>
      </c>
      <c r="S246" s="62">
        <f>MID(Train_Log[[#This Row],[COURSE NAME:]],FIND(" - ", Train_Log[[#This Row],[COURSE NAME:]]), 13)</f>
        <v/>
      </c>
      <c r="T246" s="62">
        <f>MID(E246, FIND(" - ", E246) + 3, LEN(E246)) &amp; "_" &amp; TEXT(F246, "yyyymmdd") &amp; "_" &amp; TEXT(H246, "yyyymmdd")</f>
        <v/>
      </c>
    </row>
    <row r="247">
      <c r="B247" s="38" t="inlineStr">
        <is>
          <t>EE90</t>
        </is>
      </c>
      <c r="C247" s="38" t="inlineStr">
        <is>
          <t>No</t>
        </is>
      </c>
      <c r="D247" s="39" t="inlineStr">
        <is>
          <t>5026811</t>
        </is>
      </c>
      <c r="E247" s="38" t="inlineStr">
        <is>
          <t>RTR - EFORM SEPARATIONS TRAINING</t>
        </is>
      </c>
      <c r="F247" s="44" t="n">
        <v>45593</v>
      </c>
      <c r="G247" s="40" t="n">
        <v>45593</v>
      </c>
      <c r="H247" s="44" t="n">
        <v>45593</v>
      </c>
      <c r="I247" s="41" t="n">
        <v>8</v>
      </c>
      <c r="J247" s="42" t="n">
        <v>8</v>
      </c>
      <c r="K247" s="38" t="inlineStr">
        <is>
          <t>TR 7</t>
        </is>
      </c>
      <c r="L247" s="38" t="inlineStr">
        <is>
          <t>TR 7</t>
        </is>
      </c>
      <c r="M247" s="38" t="inlineStr">
        <is>
          <t>--</t>
        </is>
      </c>
      <c r="N247" s="38" t="inlineStr">
        <is>
          <t>--</t>
        </is>
      </c>
      <c r="O247" s="38" t="inlineStr">
        <is>
          <t>JJH</t>
        </is>
      </c>
      <c r="Q247" s="62">
        <f>IF(C247="Yes", 1, IF(C247="no", 0, IF(C247= "tardy", SUM(J247/I247),"")))</f>
        <v/>
      </c>
      <c r="R247" s="62">
        <f>LEFT(Train_Log[[#This Row],[COURSE NAME:]],FIND(" - ", Train_Log[[#This Row],[COURSE NAME:]]) -1)</f>
        <v/>
      </c>
      <c r="S247" s="62">
        <f>MID(Train_Log[[#This Row],[COURSE NAME:]],FIND(" - ", Train_Log[[#This Row],[COURSE NAME:]]), 13)</f>
        <v/>
      </c>
      <c r="T247" s="62">
        <f>MID(E247, FIND(" - ", E247) + 3, LEN(E247)) &amp; "_" &amp; TEXT(F247, "yyyymmdd") &amp; "_" &amp; TEXT(H247, "yyyymmdd")</f>
        <v/>
      </c>
    </row>
    <row r="248">
      <c r="B248" s="38" t="inlineStr">
        <is>
          <t>EE89</t>
        </is>
      </c>
      <c r="C248" s="38" t="inlineStr">
        <is>
          <t>No</t>
        </is>
      </c>
      <c r="D248" s="39" t="inlineStr">
        <is>
          <t>6240345</t>
        </is>
      </c>
      <c r="E248" s="38" t="inlineStr">
        <is>
          <t>PHONES - LWOP</t>
        </is>
      </c>
      <c r="F248" s="44" t="n">
        <v>45596</v>
      </c>
      <c r="G248" s="40" t="n">
        <v>45596</v>
      </c>
      <c r="H248" s="44" t="n">
        <v>45596</v>
      </c>
      <c r="I248" s="41" t="n">
        <v>2</v>
      </c>
      <c r="J248" s="42" t="n">
        <v>2</v>
      </c>
      <c r="K248" s="38" t="inlineStr">
        <is>
          <t>TR 6</t>
        </is>
      </c>
      <c r="L248" s="38" t="inlineStr">
        <is>
          <t>TR 8</t>
        </is>
      </c>
      <c r="M248" s="38" t="inlineStr">
        <is>
          <t>--</t>
        </is>
      </c>
      <c r="N248" s="38" t="inlineStr">
        <is>
          <t>--</t>
        </is>
      </c>
      <c r="O248" s="38" t="inlineStr">
        <is>
          <t>JJH</t>
        </is>
      </c>
      <c r="Q248" s="62">
        <f>IF(C248="Yes", 1, IF(C248="no", 0, IF(C248= "tardy", SUM(J248/I248),"")))</f>
        <v/>
      </c>
      <c r="R248" s="62">
        <f>LEFT(Train_Log[[#This Row],[COURSE NAME:]],FIND(" - ", Train_Log[[#This Row],[COURSE NAME:]]) -1)</f>
        <v/>
      </c>
      <c r="S248" s="62">
        <f>MID(Train_Log[[#This Row],[COURSE NAME:]],FIND(" - ", Train_Log[[#This Row],[COURSE NAME:]]), 13)</f>
        <v/>
      </c>
      <c r="T248" s="62">
        <f>MID(E248, FIND(" - ", E248) + 3, LEN(E248)) &amp; "_" &amp; TEXT(F248, "yyyymmdd") &amp; "_" &amp; TEXT(H248, "yyyymmdd")</f>
        <v/>
      </c>
    </row>
    <row r="249">
      <c r="B249" s="38" t="inlineStr">
        <is>
          <t>EE168</t>
        </is>
      </c>
      <c r="C249" s="38" t="inlineStr">
        <is>
          <t>No</t>
        </is>
      </c>
      <c r="D249" s="39" t="inlineStr">
        <is>
          <t>4446319</t>
        </is>
      </c>
      <c r="E249" s="38" t="inlineStr">
        <is>
          <t>RTR - EFORM SEPARATIONS TRAINING</t>
        </is>
      </c>
      <c r="F249" s="44" t="n">
        <v>45789</v>
      </c>
      <c r="G249" s="40" t="n">
        <v>45789</v>
      </c>
      <c r="H249" s="44" t="n">
        <v>45789</v>
      </c>
      <c r="I249" s="41" t="n">
        <v>8</v>
      </c>
      <c r="J249" s="42" t="n">
        <v>8</v>
      </c>
      <c r="K249" s="38" t="inlineStr">
        <is>
          <t>TR 5</t>
        </is>
      </c>
      <c r="L249" s="38" t="inlineStr">
        <is>
          <t>TR 9</t>
        </is>
      </c>
      <c r="M249" s="38" t="inlineStr">
        <is>
          <t>--</t>
        </is>
      </c>
      <c r="N249" s="38" t="inlineStr">
        <is>
          <t>--</t>
        </is>
      </c>
      <c r="O249" s="38" t="inlineStr">
        <is>
          <t>JJH</t>
        </is>
      </c>
      <c r="Q249" s="62">
        <f>IF(C249="Yes", 1, IF(C249="no", 0, IF(C249= "tardy", SUM(J249/I249),"")))</f>
        <v/>
      </c>
      <c r="R249" s="62">
        <f>LEFT(Train_Log[[#This Row],[COURSE NAME:]],FIND(" - ", Train_Log[[#This Row],[COURSE NAME:]]) -1)</f>
        <v/>
      </c>
      <c r="S249" s="62">
        <f>MID(Train_Log[[#This Row],[COURSE NAME:]],FIND(" - ", Train_Log[[#This Row],[COURSE NAME:]]), 13)</f>
        <v/>
      </c>
      <c r="T249" s="62">
        <f>MID(E249, FIND(" - ", E249) + 3, LEN(E249)) &amp; "_" &amp; TEXT(F249, "yyyymmdd") &amp; "_" &amp; TEXT(H249, "yyyymmdd")</f>
        <v/>
      </c>
    </row>
    <row r="250">
      <c r="B250" s="38" t="inlineStr">
        <is>
          <t>EE179</t>
        </is>
      </c>
      <c r="C250" s="38" t="inlineStr">
        <is>
          <t>No</t>
        </is>
      </c>
      <c r="D250" s="39" t="inlineStr">
        <is>
          <t>6224464</t>
        </is>
      </c>
      <c r="E250" s="38" t="inlineStr">
        <is>
          <t>RTR - EFORM SEPARATIONS TRAINING</t>
        </is>
      </c>
      <c r="F250" s="44" t="n">
        <v>45439</v>
      </c>
      <c r="G250" s="40" t="n">
        <v>45439</v>
      </c>
      <c r="H250" s="44" t="n">
        <v>45439</v>
      </c>
      <c r="I250" s="41" t="n">
        <v>8</v>
      </c>
      <c r="J250" s="42" t="n">
        <v>8</v>
      </c>
      <c r="K250" s="38" t="inlineStr">
        <is>
          <t>TR 4</t>
        </is>
      </c>
      <c r="L250" s="38" t="inlineStr">
        <is>
          <t>TR 4</t>
        </is>
      </c>
      <c r="M250" s="38" t="inlineStr">
        <is>
          <t>--</t>
        </is>
      </c>
      <c r="N250" s="38" t="inlineStr">
        <is>
          <t>--</t>
        </is>
      </c>
      <c r="O250" s="38" t="inlineStr">
        <is>
          <t>JJH</t>
        </is>
      </c>
      <c r="Q250" s="62">
        <f>IF(C250="Yes", 1, IF(C250="no", 0, IF(C250= "tardy", SUM(J250/I250),"")))</f>
        <v/>
      </c>
      <c r="R250" s="62">
        <f>LEFT(Train_Log[[#This Row],[COURSE NAME:]],FIND(" - ", Train_Log[[#This Row],[COURSE NAME:]]) -1)</f>
        <v/>
      </c>
      <c r="S250" s="62">
        <f>MID(Train_Log[[#This Row],[COURSE NAME:]],FIND(" - ", Train_Log[[#This Row],[COURSE NAME:]]), 13)</f>
        <v/>
      </c>
      <c r="T250" s="62">
        <f>MID(E250, FIND(" - ", E250) + 3, LEN(E250)) &amp; "_" &amp; TEXT(F250, "yyyymmdd") &amp; "_" &amp; TEXT(H250, "yyyymmdd")</f>
        <v/>
      </c>
    </row>
    <row r="251">
      <c r="B251" s="38" t="inlineStr">
        <is>
          <t>EE13</t>
        </is>
      </c>
      <c r="C251" s="38" t="inlineStr">
        <is>
          <t>No</t>
        </is>
      </c>
      <c r="D251" s="39" t="inlineStr">
        <is>
          <t>5769668</t>
        </is>
      </c>
      <c r="E251" s="38" t="inlineStr">
        <is>
          <t>SUPPORT - TRAINING - PTSP TRAINING</t>
        </is>
      </c>
      <c r="F251" s="44" t="n">
        <v>45537</v>
      </c>
      <c r="G251" s="40" t="n">
        <v>45537</v>
      </c>
      <c r="H251" s="44" t="n">
        <v>45537</v>
      </c>
      <c r="I251" s="41" t="n">
        <v>3</v>
      </c>
      <c r="J251" s="42" t="n">
        <v>3</v>
      </c>
      <c r="K251" s="38" t="inlineStr">
        <is>
          <t>TR 8</t>
        </is>
      </c>
      <c r="L251" s="38" t="inlineStr">
        <is>
          <t>TR 2</t>
        </is>
      </c>
      <c r="M251" s="38" t="inlineStr">
        <is>
          <t>--</t>
        </is>
      </c>
      <c r="N251" s="38" t="inlineStr">
        <is>
          <t>--</t>
        </is>
      </c>
      <c r="O251" s="38" t="inlineStr">
        <is>
          <t>JJH</t>
        </is>
      </c>
      <c r="Q251" s="62">
        <f>IF(C251="Yes", 1, IF(C251="no", 0, IF(C251= "tardy", SUM(J251/I251),"")))</f>
        <v/>
      </c>
      <c r="R251" s="62">
        <f>LEFT(Train_Log[[#This Row],[COURSE NAME:]],FIND(" - ", Train_Log[[#This Row],[COURSE NAME:]]) -1)</f>
        <v/>
      </c>
      <c r="S251" s="62">
        <f>MID(Train_Log[[#This Row],[COURSE NAME:]],FIND(" - ", Train_Log[[#This Row],[COURSE NAME:]]), 13)</f>
        <v/>
      </c>
      <c r="T251" s="62">
        <f>MID(E251, FIND(" - ", E251) + 3, LEN(E251)) &amp; "_" &amp; TEXT(F251, "yyyymmdd") &amp; "_" &amp; TEXT(H251, "yyyymmdd")</f>
        <v/>
      </c>
    </row>
    <row r="252">
      <c r="B252" s="38" t="inlineStr">
        <is>
          <t>EE175</t>
        </is>
      </c>
      <c r="C252" s="38" t="inlineStr">
        <is>
          <t>No</t>
        </is>
      </c>
      <c r="D252" s="39" t="inlineStr">
        <is>
          <t>4641054</t>
        </is>
      </c>
      <c r="E252" s="38" t="inlineStr">
        <is>
          <t>PHONES - LWOP</t>
        </is>
      </c>
      <c r="F252" s="44" t="n">
        <v>45304</v>
      </c>
      <c r="G252" s="40" t="n">
        <v>45306</v>
      </c>
      <c r="H252" s="44" t="n">
        <v>45306</v>
      </c>
      <c r="I252" s="41" t="n">
        <v>2</v>
      </c>
      <c r="J252" s="42" t="n">
        <v>2</v>
      </c>
      <c r="K252" s="38" t="inlineStr">
        <is>
          <t>TR 7</t>
        </is>
      </c>
      <c r="L252" s="38" t="inlineStr">
        <is>
          <t>--</t>
        </is>
      </c>
      <c r="M252" s="38" t="inlineStr">
        <is>
          <t>--</t>
        </is>
      </c>
      <c r="N252" s="38" t="inlineStr">
        <is>
          <t>--</t>
        </is>
      </c>
      <c r="O252" s="38" t="inlineStr">
        <is>
          <t>JJH</t>
        </is>
      </c>
      <c r="Q252" s="62">
        <f>IF(C252="Yes", 1, IF(C252="no", 0, IF(C252= "tardy", SUM(J252/I252),"")))</f>
        <v/>
      </c>
      <c r="R252" s="62">
        <f>LEFT(Train_Log[[#This Row],[COURSE NAME:]],FIND(" - ", Train_Log[[#This Row],[COURSE NAME:]]) -1)</f>
        <v/>
      </c>
      <c r="S252" s="62">
        <f>MID(Train_Log[[#This Row],[COURSE NAME:]],FIND(" - ", Train_Log[[#This Row],[COURSE NAME:]]), 13)</f>
        <v/>
      </c>
      <c r="T252" s="62">
        <f>MID(E252, FIND(" - ", E252) + 3, LEN(E252)) &amp; "_" &amp; TEXT(F252, "yyyymmdd") &amp; "_" &amp; TEXT(H252, "yyyymmdd")</f>
        <v/>
      </c>
    </row>
    <row r="253">
      <c r="B253" s="38" t="inlineStr">
        <is>
          <t>EE122</t>
        </is>
      </c>
      <c r="C253" s="38" t="inlineStr">
        <is>
          <t>No</t>
        </is>
      </c>
      <c r="D253" s="39" t="inlineStr">
        <is>
          <t>6260634</t>
        </is>
      </c>
      <c r="E253" s="38" t="inlineStr">
        <is>
          <t>OPTIONAL RETIREMENTS - MAILBUILD</t>
        </is>
      </c>
      <c r="F253" s="44" t="n">
        <v>45503</v>
      </c>
      <c r="G253" s="40" t="n">
        <v>45503</v>
      </c>
      <c r="H253" s="44" t="n">
        <v>45503</v>
      </c>
      <c r="I253" s="41" t="n">
        <v>2</v>
      </c>
      <c r="J253" s="42" t="n">
        <v>2</v>
      </c>
      <c r="K253" s="38" t="inlineStr">
        <is>
          <t>TR 2</t>
        </is>
      </c>
      <c r="L253" s="38" t="inlineStr">
        <is>
          <t>--</t>
        </is>
      </c>
      <c r="M253" s="38" t="inlineStr">
        <is>
          <t>--</t>
        </is>
      </c>
      <c r="N253" s="38" t="inlineStr">
        <is>
          <t>--</t>
        </is>
      </c>
      <c r="O253" s="38" t="inlineStr">
        <is>
          <t>JJH</t>
        </is>
      </c>
      <c r="Q253" s="62">
        <f>IF(C253="Yes", 1, IF(C253="no", 0, IF(C253= "tardy", SUM(J253/I253),"")))</f>
        <v/>
      </c>
      <c r="R253" s="62">
        <f>LEFT(Train_Log[[#This Row],[COURSE NAME:]],FIND(" - ", Train_Log[[#This Row],[COURSE NAME:]]) -1)</f>
        <v/>
      </c>
      <c r="S253" s="62">
        <f>MID(Train_Log[[#This Row],[COURSE NAME:]],FIND(" - ", Train_Log[[#This Row],[COURSE NAME:]]), 13)</f>
        <v/>
      </c>
      <c r="T253" s="62">
        <f>MID(E253, FIND(" - ", E253) + 3, LEN(E253)) &amp; "_" &amp; TEXT(F253, "yyyymmdd") &amp; "_" &amp; TEXT(H253, "yyyymmdd")</f>
        <v/>
      </c>
    </row>
    <row r="254">
      <c r="B254" s="38" t="inlineStr">
        <is>
          <t>EE147</t>
        </is>
      </c>
      <c r="C254" s="38" t="inlineStr">
        <is>
          <t>No</t>
        </is>
      </c>
      <c r="D254" s="39" t="inlineStr">
        <is>
          <t>6219266</t>
        </is>
      </c>
      <c r="E254" s="38" t="inlineStr">
        <is>
          <t>SUPPORT - TRAINING - PTSP TRAINING</t>
        </is>
      </c>
      <c r="F254" s="44" t="n">
        <v>45337</v>
      </c>
      <c r="G254" s="40" t="n">
        <v>45337</v>
      </c>
      <c r="H254" s="44" t="n">
        <v>45337</v>
      </c>
      <c r="I254" s="41" t="n">
        <v>2</v>
      </c>
      <c r="J254" s="42" t="n">
        <v>2</v>
      </c>
      <c r="K254" s="38" t="inlineStr">
        <is>
          <t>TR 1</t>
        </is>
      </c>
      <c r="L254" s="38" t="inlineStr">
        <is>
          <t>TR 7</t>
        </is>
      </c>
      <c r="M254" s="38" t="inlineStr">
        <is>
          <t>--</t>
        </is>
      </c>
      <c r="N254" s="38" t="inlineStr">
        <is>
          <t>--</t>
        </is>
      </c>
      <c r="O254" s="38" t="inlineStr">
        <is>
          <t>JJH</t>
        </is>
      </c>
      <c r="Q254" s="62">
        <f>IF(C254="Yes", 1, IF(C254="no", 0, IF(C254= "tardy", SUM(J254/I254),"")))</f>
        <v/>
      </c>
      <c r="R254" s="62">
        <f>LEFT(Train_Log[[#This Row],[COURSE NAME:]],FIND(" - ", Train_Log[[#This Row],[COURSE NAME:]]) -1)</f>
        <v/>
      </c>
      <c r="S254" s="62">
        <f>MID(Train_Log[[#This Row],[COURSE NAME:]],FIND(" - ", Train_Log[[#This Row],[COURSE NAME:]]), 13)</f>
        <v/>
      </c>
      <c r="T254" s="62">
        <f>MID(E254, FIND(" - ", E254) + 3, LEN(E254)) &amp; "_" &amp; TEXT(F254, "yyyymmdd") &amp; "_" &amp; TEXT(H254, "yyyymmdd")</f>
        <v/>
      </c>
    </row>
    <row r="255">
      <c r="B255" s="38" t="inlineStr">
        <is>
          <t>EE127</t>
        </is>
      </c>
      <c r="C255" s="38" t="inlineStr">
        <is>
          <t>Yes</t>
        </is>
      </c>
      <c r="D255" t="inlineStr">
        <is>
          <t>5675207</t>
        </is>
      </c>
      <c r="E255" s="38" t="inlineStr">
        <is>
          <t>PHONES - LWOP</t>
        </is>
      </c>
      <c r="F255" s="40" t="n">
        <v>45595</v>
      </c>
      <c r="G255" s="40" t="n">
        <v>45595</v>
      </c>
      <c r="H255" s="40" t="n">
        <v>45595</v>
      </c>
      <c r="I255" s="41" t="n">
        <v>8</v>
      </c>
      <c r="J255" s="41" t="n">
        <v>0</v>
      </c>
      <c r="K255" s="38" t="inlineStr">
        <is>
          <t>TR 10</t>
        </is>
      </c>
      <c r="L255" s="38" t="inlineStr">
        <is>
          <t>TR 2</t>
        </is>
      </c>
      <c r="M255" s="38" t="inlineStr">
        <is>
          <t>--</t>
        </is>
      </c>
      <c r="N255" s="38" t="inlineStr">
        <is>
          <t>--</t>
        </is>
      </c>
      <c r="O255" s="38" t="inlineStr">
        <is>
          <t>JJH</t>
        </is>
      </c>
      <c r="Q255" s="62">
        <f>IF(C255="Yes", 1, IF(C255="no", 0, IF(C255= "tardy", SUM(J255/I255),"")))</f>
        <v/>
      </c>
      <c r="R255" s="62">
        <f>LEFT(Train_Log[[#This Row],[COURSE NAME:]],FIND(" - ", Train_Log[[#This Row],[COURSE NAME:]]) -1)</f>
        <v/>
      </c>
      <c r="S255" s="62">
        <f>MID(Train_Log[[#This Row],[COURSE NAME:]],FIND(" - ", Train_Log[[#This Row],[COURSE NAME:]]), 13)</f>
        <v/>
      </c>
      <c r="T255" s="62">
        <f>MID(E255, FIND(" - ", E255) + 3, LEN(E255)) &amp; "_" &amp; TEXT(F255, "yyyymmdd") &amp; "_" &amp; TEXT(H255, "yyyymmdd")</f>
        <v/>
      </c>
    </row>
    <row r="256">
      <c r="B256" s="38" t="inlineStr">
        <is>
          <t>EE86</t>
        </is>
      </c>
      <c r="C256" s="38" t="inlineStr">
        <is>
          <t>No</t>
        </is>
      </c>
      <c r="D256" t="inlineStr">
        <is>
          <t>6554880</t>
        </is>
      </c>
      <c r="E256" s="38" t="inlineStr">
        <is>
          <t>RTR - EFORM SEPARATIONS TRAINING</t>
        </is>
      </c>
      <c r="F256" s="40" t="n">
        <v>45764</v>
      </c>
      <c r="G256" s="40" t="n">
        <v>45768</v>
      </c>
      <c r="H256" s="40" t="n">
        <v>45768</v>
      </c>
      <c r="I256" s="41" t="n">
        <v>4</v>
      </c>
      <c r="J256" s="41" t="n">
        <v>4</v>
      </c>
      <c r="K256" s="38" t="inlineStr">
        <is>
          <t>TR 3</t>
        </is>
      </c>
      <c r="L256" s="38" t="inlineStr">
        <is>
          <t>TR 9</t>
        </is>
      </c>
      <c r="M256" s="38" t="inlineStr">
        <is>
          <t>--</t>
        </is>
      </c>
      <c r="N256" s="38" t="inlineStr">
        <is>
          <t>--</t>
        </is>
      </c>
      <c r="O256" s="38" t="inlineStr">
        <is>
          <t>JJH</t>
        </is>
      </c>
      <c r="P256" s="50" t="n"/>
      <c r="Q256" s="62">
        <f>IF(C256="Yes", 1, IF(C256="no", 0, IF(C256= "tardy", SUM(J256/I256),"")))</f>
        <v/>
      </c>
      <c r="R256" s="62">
        <f>LEFT(Train_Log[[#This Row],[COURSE NAME:]],FIND(" - ", Train_Log[[#This Row],[COURSE NAME:]]) -1)</f>
        <v/>
      </c>
      <c r="S256" s="62">
        <f>MID(Train_Log[[#This Row],[COURSE NAME:]],FIND(" - ", Train_Log[[#This Row],[COURSE NAME:]]), 13)</f>
        <v/>
      </c>
      <c r="T256" s="62">
        <f>MID(E256, FIND(" - ", E256) + 3, LEN(E256)) &amp; "_" &amp; TEXT(F256, "yyyymmdd") &amp; "_" &amp; TEXT(H256, "yyyymmdd")</f>
        <v/>
      </c>
    </row>
    <row r="257">
      <c r="B257" s="38" t="inlineStr">
        <is>
          <t>EE120</t>
        </is>
      </c>
      <c r="C257" s="38" t="inlineStr">
        <is>
          <t>No</t>
        </is>
      </c>
      <c r="D257" s="39" t="inlineStr">
        <is>
          <t>5034430</t>
        </is>
      </c>
      <c r="E257" s="38" t="inlineStr">
        <is>
          <t>RTR - EFORM SEPARATIONS TRAINING</t>
        </is>
      </c>
      <c r="F257" s="40" t="n">
        <v>45496</v>
      </c>
      <c r="G257" s="40" t="n">
        <v>45496</v>
      </c>
      <c r="H257" s="40" t="n">
        <v>45496</v>
      </c>
      <c r="I257" s="41" t="n">
        <v>4</v>
      </c>
      <c r="J257" s="41" t="n">
        <v>4</v>
      </c>
      <c r="K257" s="38" t="inlineStr">
        <is>
          <t>TR 5</t>
        </is>
      </c>
      <c r="L257" s="38" t="inlineStr">
        <is>
          <t>TR 3</t>
        </is>
      </c>
      <c r="M257" s="38" t="inlineStr">
        <is>
          <t>--</t>
        </is>
      </c>
      <c r="N257" s="38" t="inlineStr">
        <is>
          <t>--</t>
        </is>
      </c>
      <c r="O257" s="38" t="inlineStr">
        <is>
          <t>JJH</t>
        </is>
      </c>
      <c r="P257" s="44" t="n"/>
      <c r="Q257" s="62">
        <f>IF(C257="Yes", 1, IF(C257="no", 0, IF(C257= "tardy", SUM(J257/I257),"")))</f>
        <v/>
      </c>
      <c r="R257" s="62">
        <f>LEFT(Train_Log[[#This Row],[COURSE NAME:]],FIND(" - ", Train_Log[[#This Row],[COURSE NAME:]]) -1)</f>
        <v/>
      </c>
      <c r="S257" s="62">
        <f>MID(Train_Log[[#This Row],[COURSE NAME:]],FIND(" - ", Train_Log[[#This Row],[COURSE NAME:]]), 13)</f>
        <v/>
      </c>
      <c r="T257" s="62">
        <f>MID(E257, FIND(" - ", E257) + 3, LEN(E257)) &amp; "_" &amp; TEXT(F257, "yyyymmdd") &amp; "_" &amp; TEXT(H257, "yyyymmdd")</f>
        <v/>
      </c>
    </row>
    <row r="258">
      <c r="B258" s="38" t="inlineStr">
        <is>
          <t>EE4</t>
        </is>
      </c>
      <c r="C258" s="38" t="inlineStr">
        <is>
          <t>No</t>
        </is>
      </c>
      <c r="D258" s="39" t="inlineStr">
        <is>
          <t>5153556</t>
        </is>
      </c>
      <c r="E258" s="38" t="inlineStr">
        <is>
          <t>LWOP - HCES SUPERUSER TRAINING</t>
        </is>
      </c>
      <c r="F258" s="40" t="n">
        <v>45601</v>
      </c>
      <c r="G258" s="40" t="n">
        <v>45603</v>
      </c>
      <c r="H258" s="40" t="n">
        <v>45603</v>
      </c>
      <c r="I258" s="41" t="n">
        <v>2</v>
      </c>
      <c r="J258" s="41" t="n">
        <v>2</v>
      </c>
      <c r="K258" s="38" t="inlineStr">
        <is>
          <t>TR 3</t>
        </is>
      </c>
      <c r="L258" s="38" t="inlineStr">
        <is>
          <t>TR 10</t>
        </is>
      </c>
      <c r="M258" s="38" t="inlineStr">
        <is>
          <t>--</t>
        </is>
      </c>
      <c r="N258" s="38" t="inlineStr">
        <is>
          <t>--</t>
        </is>
      </c>
      <c r="O258" s="38" t="inlineStr">
        <is>
          <t>JJH</t>
        </is>
      </c>
      <c r="P258" s="44" t="n"/>
      <c r="Q258" s="62">
        <f>IF(C258="Yes", 1, IF(C258="no", 0, IF(C258= "tardy", SUM(J258/I258),"")))</f>
        <v/>
      </c>
      <c r="R258" s="62">
        <f>LEFT(Train_Log[[#This Row],[COURSE NAME:]],FIND(" - ", Train_Log[[#This Row],[COURSE NAME:]]) -1)</f>
        <v/>
      </c>
      <c r="S258" s="62">
        <f>MID(Train_Log[[#This Row],[COURSE NAME:]],FIND(" - ", Train_Log[[#This Row],[COURSE NAME:]]), 13)</f>
        <v/>
      </c>
      <c r="T258" s="62">
        <f>MID(E258, FIND(" - ", E258) + 3, LEN(E258)) &amp; "_" &amp; TEXT(F258, "yyyymmdd") &amp; "_" &amp; TEXT(H258, "yyyymmdd")</f>
        <v/>
      </c>
    </row>
    <row r="259">
      <c r="B259" s="38" t="inlineStr">
        <is>
          <t>EE164</t>
        </is>
      </c>
      <c r="C259" s="38" t="inlineStr">
        <is>
          <t>No</t>
        </is>
      </c>
      <c r="D259" t="inlineStr">
        <is>
          <t>5104733</t>
        </is>
      </c>
      <c r="E259" s="38" t="inlineStr">
        <is>
          <t>LWOP - HCES SU FACILITATION TRAINING</t>
        </is>
      </c>
      <c r="F259" s="40" t="n">
        <v>45736</v>
      </c>
      <c r="G259" s="40" t="n">
        <v>45738</v>
      </c>
      <c r="H259" s="40" t="n">
        <v>45738</v>
      </c>
      <c r="I259" s="41" t="n">
        <v>4</v>
      </c>
      <c r="J259" s="41" t="n">
        <v>4</v>
      </c>
      <c r="K259" s="38" t="inlineStr">
        <is>
          <t>TR 2</t>
        </is>
      </c>
      <c r="L259" s="38" t="inlineStr">
        <is>
          <t>TR 3</t>
        </is>
      </c>
      <c r="M259" s="38" t="inlineStr">
        <is>
          <t>--</t>
        </is>
      </c>
      <c r="N259" s="38" t="inlineStr">
        <is>
          <t>--</t>
        </is>
      </c>
      <c r="O259" s="38" t="inlineStr">
        <is>
          <t>JJH</t>
        </is>
      </c>
      <c r="Q259" s="62">
        <f>IF(C259="Yes", 1, IF(C259="no", 0, IF(C259= "tardy", SUM(J259/I259),"")))</f>
        <v/>
      </c>
      <c r="R259" s="62">
        <f>LEFT(Train_Log[[#This Row],[COURSE NAME:]],FIND(" - ", Train_Log[[#This Row],[COURSE NAME:]]) -1)</f>
        <v/>
      </c>
      <c r="S259" s="62">
        <f>MID(Train_Log[[#This Row],[COURSE NAME:]],FIND(" - ", Train_Log[[#This Row],[COURSE NAME:]]), 13)</f>
        <v/>
      </c>
      <c r="T259" s="62">
        <f>MID(E259, FIND(" - ", E259) + 3, LEN(E259)) &amp; "_" &amp; TEXT(F259, "yyyymmdd") &amp; "_" &amp; TEXT(H259, "yyyymmdd")</f>
        <v/>
      </c>
    </row>
    <row r="260">
      <c r="B260" s="38" t="inlineStr">
        <is>
          <t>EE36</t>
        </is>
      </c>
      <c r="C260" s="38" t="inlineStr">
        <is>
          <t>Yes</t>
        </is>
      </c>
      <c r="D260" t="inlineStr">
        <is>
          <t>5427114</t>
        </is>
      </c>
      <c r="E260" s="38" t="inlineStr">
        <is>
          <t>OPTIONAL RETIREMENTS - MAILBUILD</t>
        </is>
      </c>
      <c r="F260" s="40" t="n">
        <v>45630</v>
      </c>
      <c r="G260" s="40" t="n">
        <v>45630</v>
      </c>
      <c r="H260" s="40" t="n">
        <v>45630</v>
      </c>
      <c r="I260" s="41" t="n">
        <v>4</v>
      </c>
      <c r="J260" s="41" t="n">
        <v>0</v>
      </c>
      <c r="K260" s="38" t="inlineStr">
        <is>
          <t>TR 4</t>
        </is>
      </c>
      <c r="L260" s="38" t="inlineStr">
        <is>
          <t>TR 8</t>
        </is>
      </c>
      <c r="M260" s="38" t="inlineStr">
        <is>
          <t>--</t>
        </is>
      </c>
      <c r="N260" s="38" t="inlineStr">
        <is>
          <t>--</t>
        </is>
      </c>
      <c r="O260" s="38" t="inlineStr">
        <is>
          <t>JJH</t>
        </is>
      </c>
      <c r="P260" s="59" t="n"/>
      <c r="Q260" s="62">
        <f>IF(C260="Yes", 1, IF(C260="no", 0, IF(C260= "tardy", SUM(J260/I260),"")))</f>
        <v/>
      </c>
      <c r="R260" s="62">
        <f>LEFT(Train_Log[[#This Row],[COURSE NAME:]],FIND(" - ", Train_Log[[#This Row],[COURSE NAME:]]) -1)</f>
        <v/>
      </c>
      <c r="S260" s="62">
        <f>MID(Train_Log[[#This Row],[COURSE NAME:]],FIND(" - ", Train_Log[[#This Row],[COURSE NAME:]]), 13)</f>
        <v/>
      </c>
      <c r="T260" s="62">
        <f>MID(E260, FIND(" - ", E260) + 3, LEN(E260)) &amp; "_" &amp; TEXT(F260, "yyyymmdd") &amp; "_" &amp; TEXT(H260, "yyyymmdd")</f>
        <v/>
      </c>
    </row>
    <row r="261">
      <c r="B261" s="38" t="inlineStr">
        <is>
          <t>EE69</t>
        </is>
      </c>
      <c r="C261" s="38" t="inlineStr">
        <is>
          <t>No</t>
        </is>
      </c>
      <c r="D261" t="inlineStr">
        <is>
          <t>4976395</t>
        </is>
      </c>
      <c r="E261" s="38" t="inlineStr">
        <is>
          <t>LWOP - HCES SUPERUSER TRAINING</t>
        </is>
      </c>
      <c r="F261" s="40" t="n">
        <v>45608</v>
      </c>
      <c r="G261" s="40" t="n">
        <v>45610</v>
      </c>
      <c r="H261" s="40" t="n">
        <v>45610</v>
      </c>
      <c r="I261" s="41" t="n">
        <v>2</v>
      </c>
      <c r="J261" s="41" t="n">
        <v>2</v>
      </c>
      <c r="K261" s="38" t="inlineStr">
        <is>
          <t>TR 5</t>
        </is>
      </c>
      <c r="L261" s="38" t="inlineStr">
        <is>
          <t>--</t>
        </is>
      </c>
      <c r="M261" s="38" t="inlineStr">
        <is>
          <t>--</t>
        </is>
      </c>
      <c r="N261" s="38" t="inlineStr">
        <is>
          <t>--</t>
        </is>
      </c>
      <c r="O261" s="38" t="inlineStr">
        <is>
          <t>JJH</t>
        </is>
      </c>
      <c r="P261" s="59" t="n"/>
      <c r="Q261" s="62">
        <f>IF(C261="Yes", 1, IF(C261="no", 0, IF(C261= "tardy", SUM(J261/I261),"")))</f>
        <v/>
      </c>
      <c r="R261" s="62">
        <f>LEFT(Train_Log[[#This Row],[COURSE NAME:]],FIND(" - ", Train_Log[[#This Row],[COURSE NAME:]]) -1)</f>
        <v/>
      </c>
      <c r="S261" s="62">
        <f>MID(Train_Log[[#This Row],[COURSE NAME:]],FIND(" - ", Train_Log[[#This Row],[COURSE NAME:]]), 13)</f>
        <v/>
      </c>
      <c r="T261" s="62">
        <f>MID(E261, FIND(" - ", E261) + 3, LEN(E261)) &amp; "_" &amp; TEXT(F261, "yyyymmdd") &amp; "_" &amp; TEXT(H261, "yyyymmdd")</f>
        <v/>
      </c>
    </row>
    <row r="262">
      <c r="B262" s="38" t="inlineStr">
        <is>
          <t>EE93</t>
        </is>
      </c>
      <c r="C262" s="38" t="inlineStr">
        <is>
          <t>No</t>
        </is>
      </c>
      <c r="D262" t="inlineStr">
        <is>
          <t>5591551</t>
        </is>
      </c>
      <c r="E262" s="38" t="inlineStr">
        <is>
          <t>SUPPORT - TRAINING - PTSP TRAINING</t>
        </is>
      </c>
      <c r="F262" s="40" t="n">
        <v>45362</v>
      </c>
      <c r="G262" s="40" t="n">
        <v>45366</v>
      </c>
      <c r="H262" s="40" t="n">
        <v>45366</v>
      </c>
      <c r="I262" s="41" t="n">
        <v>3</v>
      </c>
      <c r="J262" s="41" t="n">
        <v>3</v>
      </c>
      <c r="K262" s="38" t="inlineStr">
        <is>
          <t>TR 3</t>
        </is>
      </c>
      <c r="L262" s="38" t="inlineStr">
        <is>
          <t>TR 7</t>
        </is>
      </c>
      <c r="M262" s="38" t="inlineStr">
        <is>
          <t>--</t>
        </is>
      </c>
      <c r="N262" s="38" t="inlineStr">
        <is>
          <t>--</t>
        </is>
      </c>
      <c r="O262" s="38" t="inlineStr">
        <is>
          <t>JJH</t>
        </is>
      </c>
      <c r="P262" s="59" t="n"/>
      <c r="Q262" s="62">
        <f>IF(C262="Yes", 1, IF(C262="no", 0, IF(C262= "tardy", SUM(J262/I262),"")))</f>
        <v/>
      </c>
      <c r="R262" s="62">
        <f>LEFT(Train_Log[[#This Row],[COURSE NAME:]],FIND(" - ", Train_Log[[#This Row],[COURSE NAME:]]) -1)</f>
        <v/>
      </c>
      <c r="S262" s="62">
        <f>MID(Train_Log[[#This Row],[COURSE NAME:]],FIND(" - ", Train_Log[[#This Row],[COURSE NAME:]]), 13)</f>
        <v/>
      </c>
      <c r="T262" s="62">
        <f>MID(E262, FIND(" - ", E262) + 3, LEN(E262)) &amp; "_" &amp; TEXT(F262, "yyyymmdd") &amp; "_" &amp; TEXT(H262, "yyyymmdd")</f>
        <v/>
      </c>
    </row>
    <row r="263">
      <c r="B263" s="38" t="inlineStr">
        <is>
          <t>EE176</t>
        </is>
      </c>
      <c r="C263" s="38" t="inlineStr">
        <is>
          <t>No</t>
        </is>
      </c>
      <c r="D263" t="inlineStr">
        <is>
          <t>5568308</t>
        </is>
      </c>
      <c r="E263" s="38" t="inlineStr">
        <is>
          <t>RTR - EFORM SEPARATIONS TRAINING</t>
        </is>
      </c>
      <c r="F263" s="40" t="n">
        <v>45419</v>
      </c>
      <c r="G263" s="40" t="n">
        <v>45423</v>
      </c>
      <c r="H263" s="40" t="n">
        <v>45423</v>
      </c>
      <c r="I263" s="41" t="n">
        <v>3</v>
      </c>
      <c r="J263" s="41" t="n">
        <v>3</v>
      </c>
      <c r="K263" s="38" t="inlineStr">
        <is>
          <t>TR 6</t>
        </is>
      </c>
      <c r="L263" s="38" t="inlineStr">
        <is>
          <t>TR 10</t>
        </is>
      </c>
      <c r="M263" s="38" t="inlineStr">
        <is>
          <t>--</t>
        </is>
      </c>
      <c r="N263" s="38" t="inlineStr">
        <is>
          <t>--</t>
        </is>
      </c>
      <c r="O263" s="38" t="inlineStr">
        <is>
          <t>JJH</t>
        </is>
      </c>
      <c r="P263" s="59" t="n"/>
      <c r="Q263" s="62">
        <f>IF(C263="Yes", 1, IF(C263="no", 0, IF(C263= "tardy", SUM(J263/I263),"")))</f>
        <v/>
      </c>
      <c r="R263" s="62">
        <f>LEFT(Train_Log[[#This Row],[COURSE NAME:]],FIND(" - ", Train_Log[[#This Row],[COURSE NAME:]]) -1)</f>
        <v/>
      </c>
      <c r="S263" s="62">
        <f>MID(Train_Log[[#This Row],[COURSE NAME:]],FIND(" - ", Train_Log[[#This Row],[COURSE NAME:]]), 13)</f>
        <v/>
      </c>
      <c r="T263" s="62">
        <f>MID(E263, FIND(" - ", E263) + 3, LEN(E263)) &amp; "_" &amp; TEXT(F263, "yyyymmdd") &amp; "_" &amp; TEXT(H263, "yyyymmdd")</f>
        <v/>
      </c>
    </row>
    <row r="264">
      <c r="B264" s="38" t="inlineStr">
        <is>
          <t>EE57</t>
        </is>
      </c>
      <c r="C264" s="38" t="inlineStr">
        <is>
          <t>No</t>
        </is>
      </c>
      <c r="D264" s="39" t="inlineStr">
        <is>
          <t>6636706</t>
        </is>
      </c>
      <c r="E264" s="38" t="inlineStr">
        <is>
          <t>SUPPORT - TRAINING - PTSP TRAINING</t>
        </is>
      </c>
      <c r="F264" s="44" t="n">
        <v>45435</v>
      </c>
      <c r="G264" s="40" t="n">
        <v>45436</v>
      </c>
      <c r="H264" s="44" t="n">
        <v>45436</v>
      </c>
      <c r="I264" s="41" t="n">
        <v>8</v>
      </c>
      <c r="J264" s="42" t="n">
        <v>8</v>
      </c>
      <c r="K264" s="38" t="inlineStr">
        <is>
          <t>TR 6</t>
        </is>
      </c>
      <c r="L264" s="38" t="inlineStr">
        <is>
          <t>TR 7</t>
        </is>
      </c>
      <c r="M264" s="38" t="inlineStr">
        <is>
          <t>--</t>
        </is>
      </c>
      <c r="N264" s="38" t="inlineStr">
        <is>
          <t>--</t>
        </is>
      </c>
      <c r="O264" s="38" t="inlineStr">
        <is>
          <t>JJH</t>
        </is>
      </c>
      <c r="Q264" s="62">
        <f>IF(C264="Yes", 1, IF(C264="no", 0, IF(C264= "tardy", SUM(J264/I264),"")))</f>
        <v/>
      </c>
      <c r="R264" s="62">
        <f>LEFT(Train_Log[[#This Row],[COURSE NAME:]],FIND(" - ", Train_Log[[#This Row],[COURSE NAME:]]) -1)</f>
        <v/>
      </c>
      <c r="S264" s="62">
        <f>MID(Train_Log[[#This Row],[COURSE NAME:]],FIND(" - ", Train_Log[[#This Row],[COURSE NAME:]]), 13)</f>
        <v/>
      </c>
      <c r="T264" s="62">
        <f>MID(E264, FIND(" - ", E264) + 3, LEN(E264)) &amp; "_" &amp; TEXT(F264, "yyyymmdd") &amp; "_" &amp; TEXT(H264, "yyyymmdd")</f>
        <v/>
      </c>
    </row>
    <row r="265">
      <c r="B265" s="38" t="inlineStr">
        <is>
          <t>EE180</t>
        </is>
      </c>
      <c r="C265" s="38" t="inlineStr">
        <is>
          <t>No</t>
        </is>
      </c>
      <c r="D265" s="39" t="inlineStr">
        <is>
          <t>4002398</t>
        </is>
      </c>
      <c r="E265" s="38" t="inlineStr">
        <is>
          <t>OPTIONAL RETIREMENTS - MAILBUILD</t>
        </is>
      </c>
      <c r="F265" s="44" t="n">
        <v>45522</v>
      </c>
      <c r="G265" s="40" t="n">
        <v>45522</v>
      </c>
      <c r="H265" s="44" t="n">
        <v>45522</v>
      </c>
      <c r="I265" s="41" t="n">
        <v>8</v>
      </c>
      <c r="J265" s="42" t="n">
        <v>8</v>
      </c>
      <c r="K265" s="38" t="inlineStr">
        <is>
          <t>TR 2</t>
        </is>
      </c>
      <c r="L265" s="38" t="inlineStr">
        <is>
          <t>TR 9</t>
        </is>
      </c>
      <c r="M265" s="38" t="inlineStr">
        <is>
          <t>--</t>
        </is>
      </c>
      <c r="N265" s="38" t="inlineStr">
        <is>
          <t>--</t>
        </is>
      </c>
      <c r="O265" s="38" t="inlineStr">
        <is>
          <t>JJH</t>
        </is>
      </c>
      <c r="Q265" s="62">
        <f>IF(C265="Yes", 1, IF(C265="no", 0, IF(C265= "tardy", SUM(J265/I265),"")))</f>
        <v/>
      </c>
      <c r="R265" s="62">
        <f>LEFT(Train_Log[[#This Row],[COURSE NAME:]],FIND(" - ", Train_Log[[#This Row],[COURSE NAME:]]) -1)</f>
        <v/>
      </c>
      <c r="S265" s="62">
        <f>MID(Train_Log[[#This Row],[COURSE NAME:]],FIND(" - ", Train_Log[[#This Row],[COURSE NAME:]]), 13)</f>
        <v/>
      </c>
      <c r="T265" s="62">
        <f>MID(E265, FIND(" - ", E265) + 3, LEN(E265)) &amp; "_" &amp; TEXT(F265, "yyyymmdd") &amp; "_" &amp; TEXT(H265, "yyyymmdd")</f>
        <v/>
      </c>
    </row>
    <row r="266">
      <c r="B266" s="38" t="inlineStr">
        <is>
          <t>EE115</t>
        </is>
      </c>
      <c r="C266" s="38" t="inlineStr">
        <is>
          <t>No</t>
        </is>
      </c>
      <c r="D266" s="39" t="inlineStr">
        <is>
          <t>6696316</t>
        </is>
      </c>
      <c r="E266" s="38" t="inlineStr">
        <is>
          <t>LWOP - HCES SUPERUSER TRAINING</t>
        </is>
      </c>
      <c r="F266" s="44" t="n">
        <v>45378</v>
      </c>
      <c r="G266" s="40" t="n">
        <v>45380</v>
      </c>
      <c r="H266" s="44" t="n">
        <v>45380</v>
      </c>
      <c r="I266" s="41" t="n">
        <v>8</v>
      </c>
      <c r="J266" s="42" t="n">
        <v>8</v>
      </c>
      <c r="K266" s="38" t="inlineStr">
        <is>
          <t>TR 9</t>
        </is>
      </c>
      <c r="L266" s="38" t="inlineStr">
        <is>
          <t>TR 4</t>
        </is>
      </c>
      <c r="M266" s="38" t="inlineStr">
        <is>
          <t>--</t>
        </is>
      </c>
      <c r="N266" s="38" t="inlineStr">
        <is>
          <t>--</t>
        </is>
      </c>
      <c r="O266" s="38" t="inlineStr">
        <is>
          <t>JJH</t>
        </is>
      </c>
      <c r="Q266" s="62">
        <f>IF(C266="Yes", 1, IF(C266="no", 0, IF(C266= "tardy", SUM(J266/I266),"")))</f>
        <v/>
      </c>
      <c r="R266" s="62">
        <f>LEFT(Train_Log[[#This Row],[COURSE NAME:]],FIND(" - ", Train_Log[[#This Row],[COURSE NAME:]]) -1)</f>
        <v/>
      </c>
      <c r="S266" s="62">
        <f>MID(Train_Log[[#This Row],[COURSE NAME:]],FIND(" - ", Train_Log[[#This Row],[COURSE NAME:]]), 13)</f>
        <v/>
      </c>
      <c r="T266" s="62">
        <f>MID(E266, FIND(" - ", E266) + 3, LEN(E266)) &amp; "_" &amp; TEXT(F266, "yyyymmdd") &amp; "_" &amp; TEXT(H266, "yyyymmdd")</f>
        <v/>
      </c>
    </row>
    <row r="267">
      <c r="B267" s="38" t="inlineStr">
        <is>
          <t>EE147</t>
        </is>
      </c>
      <c r="C267" s="38" t="inlineStr">
        <is>
          <t>No</t>
        </is>
      </c>
      <c r="D267" s="39" t="inlineStr">
        <is>
          <t>6219266</t>
        </is>
      </c>
      <c r="E267" s="38" t="inlineStr">
        <is>
          <t>PHONES - LWOP</t>
        </is>
      </c>
      <c r="F267" s="44" t="n">
        <v>45467</v>
      </c>
      <c r="G267" s="40" t="n">
        <v>45467</v>
      </c>
      <c r="H267" s="44" t="n">
        <v>45467</v>
      </c>
      <c r="I267" s="41" t="n">
        <v>4</v>
      </c>
      <c r="J267" s="42" t="n">
        <v>4</v>
      </c>
      <c r="K267" s="38" t="inlineStr">
        <is>
          <t>TR 2</t>
        </is>
      </c>
      <c r="L267" s="38" t="inlineStr">
        <is>
          <t>--</t>
        </is>
      </c>
      <c r="M267" s="38" t="inlineStr">
        <is>
          <t>--</t>
        </is>
      </c>
      <c r="N267" s="38" t="inlineStr">
        <is>
          <t>--</t>
        </is>
      </c>
      <c r="O267" s="38" t="inlineStr">
        <is>
          <t>JJH</t>
        </is>
      </c>
      <c r="Q267" s="62">
        <f>IF(C267="Yes", 1, IF(C267="no", 0, IF(C267= "tardy", SUM(J267/I267),"")))</f>
        <v/>
      </c>
      <c r="R267" s="62">
        <f>LEFT(Train_Log[[#This Row],[COURSE NAME:]],FIND(" - ", Train_Log[[#This Row],[COURSE NAME:]]) -1)</f>
        <v/>
      </c>
      <c r="S267" s="62">
        <f>MID(Train_Log[[#This Row],[COURSE NAME:]],FIND(" - ", Train_Log[[#This Row],[COURSE NAME:]]), 13)</f>
        <v/>
      </c>
      <c r="T267" s="62">
        <f>MID(E267, FIND(" - ", E267) + 3, LEN(E267)) &amp; "_" &amp; TEXT(F267, "yyyymmdd") &amp; "_" &amp; TEXT(H267, "yyyymmdd")</f>
        <v/>
      </c>
    </row>
    <row r="268">
      <c r="B268" s="38" t="inlineStr">
        <is>
          <t>EE53</t>
        </is>
      </c>
      <c r="C268" s="38" t="inlineStr">
        <is>
          <t>No</t>
        </is>
      </c>
      <c r="D268" s="39" t="inlineStr">
        <is>
          <t>5587688</t>
        </is>
      </c>
      <c r="E268" s="38" t="inlineStr">
        <is>
          <t>OPTIONAL RETIREMENTS - MAILBUILD</t>
        </is>
      </c>
      <c r="F268" s="44" t="n">
        <v>45392</v>
      </c>
      <c r="G268" s="40" t="n">
        <v>45394</v>
      </c>
      <c r="H268" s="44" t="n">
        <v>45394</v>
      </c>
      <c r="I268" s="41" t="n">
        <v>2</v>
      </c>
      <c r="J268" s="42" t="n">
        <v>2</v>
      </c>
      <c r="K268" s="38" t="inlineStr">
        <is>
          <t>TR 8</t>
        </is>
      </c>
      <c r="L268" s="38" t="inlineStr">
        <is>
          <t>TR 3</t>
        </is>
      </c>
      <c r="M268" s="38" t="inlineStr">
        <is>
          <t>--</t>
        </is>
      </c>
      <c r="N268" s="38" t="inlineStr">
        <is>
          <t>--</t>
        </is>
      </c>
      <c r="O268" s="38" t="inlineStr">
        <is>
          <t>JJH</t>
        </is>
      </c>
      <c r="Q268" s="62">
        <f>IF(C268="Yes", 1, IF(C268="no", 0, IF(C268= "tardy", SUM(J268/I268),"")))</f>
        <v/>
      </c>
      <c r="R268" s="62">
        <f>LEFT(Train_Log[[#This Row],[COURSE NAME:]],FIND(" - ", Train_Log[[#This Row],[COURSE NAME:]]) -1)</f>
        <v/>
      </c>
      <c r="S268" s="62">
        <f>MID(Train_Log[[#This Row],[COURSE NAME:]],FIND(" - ", Train_Log[[#This Row],[COURSE NAME:]]), 13)</f>
        <v/>
      </c>
      <c r="T268" s="62">
        <f>MID(E268, FIND(" - ", E268) + 3, LEN(E268)) &amp; "_" &amp; TEXT(F268, "yyyymmdd") &amp; "_" &amp; TEXT(H268, "yyyymmdd")</f>
        <v/>
      </c>
    </row>
    <row r="269">
      <c r="B269" s="38" t="inlineStr">
        <is>
          <t>EE132</t>
        </is>
      </c>
      <c r="C269" s="38" t="inlineStr">
        <is>
          <t>tardy</t>
        </is>
      </c>
      <c r="D269" s="39" t="inlineStr">
        <is>
          <t>6069955</t>
        </is>
      </c>
      <c r="E269" s="38" t="inlineStr">
        <is>
          <t>LWOP - HCES SU FACILITATION TRAINING</t>
        </is>
      </c>
      <c r="F269" s="44" t="n">
        <v>45766</v>
      </c>
      <c r="G269" s="40" t="n">
        <v>45768</v>
      </c>
      <c r="H269" s="44" t="n">
        <v>45768</v>
      </c>
      <c r="I269" s="41" t="n">
        <v>4</v>
      </c>
      <c r="J269" s="42" t="n">
        <v>3.08</v>
      </c>
      <c r="K269" s="38" t="inlineStr">
        <is>
          <t>TR 5</t>
        </is>
      </c>
      <c r="L269" s="38" t="inlineStr">
        <is>
          <t>TR 1</t>
        </is>
      </c>
      <c r="M269" s="38" t="inlineStr">
        <is>
          <t>--</t>
        </is>
      </c>
      <c r="N269" s="38" t="inlineStr">
        <is>
          <t>--</t>
        </is>
      </c>
      <c r="O269" s="38" t="inlineStr">
        <is>
          <t>JJH</t>
        </is>
      </c>
      <c r="Q269" s="62">
        <f>IF(C269="Yes", 1, IF(C269="no", 0, IF(C269= "tardy", SUM(J269/I269),"")))</f>
        <v/>
      </c>
      <c r="R269" s="62">
        <f>LEFT(Train_Log[[#This Row],[COURSE NAME:]],FIND(" - ", Train_Log[[#This Row],[COURSE NAME:]]) -1)</f>
        <v/>
      </c>
      <c r="S269" s="62">
        <f>MID(Train_Log[[#This Row],[COURSE NAME:]],FIND(" - ", Train_Log[[#This Row],[COURSE NAME:]]), 13)</f>
        <v/>
      </c>
      <c r="T269" s="62">
        <f>MID(E269, FIND(" - ", E269) + 3, LEN(E269)) &amp; "_" &amp; TEXT(F269, "yyyymmdd") &amp; "_" &amp; TEXT(H269, "yyyymmdd")</f>
        <v/>
      </c>
    </row>
    <row r="270">
      <c r="B270" s="38" t="inlineStr">
        <is>
          <t>EE102</t>
        </is>
      </c>
      <c r="C270" s="38" t="inlineStr">
        <is>
          <t>No</t>
        </is>
      </c>
      <c r="D270" s="39" t="inlineStr">
        <is>
          <t>4960697</t>
        </is>
      </c>
      <c r="E270" s="38" t="inlineStr">
        <is>
          <t>RTR - EFORM SEPARATIONS TRAINING</t>
        </is>
      </c>
      <c r="F270" s="44" t="n">
        <v>45302</v>
      </c>
      <c r="G270" s="40" t="n">
        <v>45306</v>
      </c>
      <c r="H270" s="44" t="n">
        <v>45306</v>
      </c>
      <c r="I270" s="41" t="n">
        <v>2</v>
      </c>
      <c r="J270" s="42" t="n">
        <v>2</v>
      </c>
      <c r="K270" s="38" t="inlineStr">
        <is>
          <t>TR 1</t>
        </is>
      </c>
      <c r="L270" s="38" t="inlineStr">
        <is>
          <t>TR 7</t>
        </is>
      </c>
      <c r="M270" s="38" t="inlineStr">
        <is>
          <t>--</t>
        </is>
      </c>
      <c r="N270" s="38" t="inlineStr">
        <is>
          <t>--</t>
        </is>
      </c>
      <c r="O270" s="38" t="inlineStr">
        <is>
          <t>JJH</t>
        </is>
      </c>
      <c r="Q270" s="62">
        <f>IF(C270="Yes", 1, IF(C270="no", 0, IF(C270= "tardy", SUM(J270/I270),"")))</f>
        <v/>
      </c>
      <c r="R270" s="62">
        <f>LEFT(Train_Log[[#This Row],[COURSE NAME:]],FIND(" - ", Train_Log[[#This Row],[COURSE NAME:]]) -1)</f>
        <v/>
      </c>
      <c r="S270" s="62">
        <f>MID(Train_Log[[#This Row],[COURSE NAME:]],FIND(" - ", Train_Log[[#This Row],[COURSE NAME:]]), 13)</f>
        <v/>
      </c>
      <c r="T270" s="62">
        <f>MID(E270, FIND(" - ", E270) + 3, LEN(E270)) &amp; "_" &amp; TEXT(F270, "yyyymmdd") &amp; "_" &amp; TEXT(H270, "yyyymmdd")</f>
        <v/>
      </c>
    </row>
    <row r="271">
      <c r="B271" s="38" t="inlineStr">
        <is>
          <t>EE89</t>
        </is>
      </c>
      <c r="C271" s="38" t="inlineStr">
        <is>
          <t>No</t>
        </is>
      </c>
      <c r="D271" s="39" t="inlineStr">
        <is>
          <t>6240345</t>
        </is>
      </c>
      <c r="E271" s="38" t="inlineStr">
        <is>
          <t>PHONES - EMPLOYMENT VERIFICATION</t>
        </is>
      </c>
      <c r="F271" s="44" t="n">
        <v>45360</v>
      </c>
      <c r="G271" s="40" t="n">
        <v>45360</v>
      </c>
      <c r="H271" s="44" t="n">
        <v>45360</v>
      </c>
      <c r="I271" s="41" t="n">
        <v>4</v>
      </c>
      <c r="J271" s="42" t="n">
        <v>4</v>
      </c>
      <c r="K271" s="38" t="inlineStr">
        <is>
          <t>TR 1</t>
        </is>
      </c>
      <c r="L271" s="38" t="inlineStr">
        <is>
          <t>TR 5</t>
        </is>
      </c>
      <c r="M271" s="38" t="inlineStr">
        <is>
          <t>--</t>
        </is>
      </c>
      <c r="N271" s="38" t="inlineStr">
        <is>
          <t>--</t>
        </is>
      </c>
      <c r="O271" s="38" t="inlineStr">
        <is>
          <t>JJH</t>
        </is>
      </c>
      <c r="Q271" s="62">
        <f>IF(C271="Yes", 1, IF(C271="no", 0, IF(C271= "tardy", SUM(J271/I271),"")))</f>
        <v/>
      </c>
      <c r="R271" s="62">
        <f>LEFT(Train_Log[[#This Row],[COURSE NAME:]],FIND(" - ", Train_Log[[#This Row],[COURSE NAME:]]) -1)</f>
        <v/>
      </c>
      <c r="S271" s="62">
        <f>MID(Train_Log[[#This Row],[COURSE NAME:]],FIND(" - ", Train_Log[[#This Row],[COURSE NAME:]]), 13)</f>
        <v/>
      </c>
      <c r="T271" s="62">
        <f>MID(E271, FIND(" - ", E271) + 3, LEN(E271)) &amp; "_" &amp; TEXT(F271, "yyyymmdd") &amp; "_" &amp; TEXT(H271, "yyyymmdd")</f>
        <v/>
      </c>
    </row>
    <row r="272">
      <c r="B272" s="38" t="inlineStr">
        <is>
          <t>EE105</t>
        </is>
      </c>
      <c r="C272" s="38" t="inlineStr">
        <is>
          <t>No</t>
        </is>
      </c>
      <c r="D272" s="39" t="inlineStr">
        <is>
          <t>5682607</t>
        </is>
      </c>
      <c r="E272" s="38" t="inlineStr">
        <is>
          <t>PHONES - LWOP</t>
        </is>
      </c>
      <c r="F272" s="44" t="n">
        <v>45437</v>
      </c>
      <c r="G272" s="40" t="n">
        <v>45441</v>
      </c>
      <c r="H272" s="44" t="n">
        <v>45441</v>
      </c>
      <c r="I272" s="41" t="n">
        <v>4</v>
      </c>
      <c r="J272" s="42" t="n">
        <v>4</v>
      </c>
      <c r="K272" s="38" t="inlineStr">
        <is>
          <t>TR 6</t>
        </is>
      </c>
      <c r="L272" s="38" t="inlineStr">
        <is>
          <t>TR 7</t>
        </is>
      </c>
      <c r="M272" s="38" t="inlineStr">
        <is>
          <t>--</t>
        </is>
      </c>
      <c r="N272" s="38" t="inlineStr">
        <is>
          <t>--</t>
        </is>
      </c>
      <c r="O272" s="38" t="inlineStr">
        <is>
          <t>JJH</t>
        </is>
      </c>
      <c r="Q272" s="62">
        <f>IF(C272="Yes", 1, IF(C272="no", 0, IF(C272= "tardy", SUM(J272/I272),"")))</f>
        <v/>
      </c>
      <c r="R272" s="62">
        <f>LEFT(Train_Log[[#This Row],[COURSE NAME:]],FIND(" - ", Train_Log[[#This Row],[COURSE NAME:]]) -1)</f>
        <v/>
      </c>
      <c r="S272" s="62">
        <f>MID(Train_Log[[#This Row],[COURSE NAME:]],FIND(" - ", Train_Log[[#This Row],[COURSE NAME:]]), 13)</f>
        <v/>
      </c>
      <c r="T272" s="62">
        <f>MID(E272, FIND(" - ", E272) + 3, LEN(E272)) &amp; "_" &amp; TEXT(F272, "yyyymmdd") &amp; "_" &amp; TEXT(H272, "yyyymmdd")</f>
        <v/>
      </c>
    </row>
    <row r="273">
      <c r="B273" s="38" t="inlineStr">
        <is>
          <t>EE115</t>
        </is>
      </c>
      <c r="C273" s="38" t="inlineStr">
        <is>
          <t>No</t>
        </is>
      </c>
      <c r="D273" s="39" t="inlineStr">
        <is>
          <t>6696316</t>
        </is>
      </c>
      <c r="E273" s="38" t="inlineStr">
        <is>
          <t>LWOP - HCES SU FACILITATION TRAINING</t>
        </is>
      </c>
      <c r="F273" s="44" t="n">
        <v>45683</v>
      </c>
      <c r="G273" s="40" t="n">
        <v>45683</v>
      </c>
      <c r="H273" s="44" t="n">
        <v>45683</v>
      </c>
      <c r="I273" s="41" t="n">
        <v>8</v>
      </c>
      <c r="J273" s="42" t="n">
        <v>8</v>
      </c>
      <c r="K273" s="38" t="inlineStr">
        <is>
          <t>TR 3</t>
        </is>
      </c>
      <c r="L273" s="38" t="inlineStr">
        <is>
          <t>--</t>
        </is>
      </c>
      <c r="M273" s="38" t="inlineStr">
        <is>
          <t>--</t>
        </is>
      </c>
      <c r="N273" s="38" t="inlineStr">
        <is>
          <t>--</t>
        </is>
      </c>
      <c r="O273" s="38" t="inlineStr">
        <is>
          <t>JJH</t>
        </is>
      </c>
      <c r="Q273" s="62">
        <f>IF(C273="Yes", 1, IF(C273="no", 0, IF(C273= "tardy", SUM(J273/I273),"")))</f>
        <v/>
      </c>
      <c r="R273" s="62">
        <f>LEFT(Train_Log[[#This Row],[COURSE NAME:]],FIND(" - ", Train_Log[[#This Row],[COURSE NAME:]]) -1)</f>
        <v/>
      </c>
      <c r="S273" s="62">
        <f>MID(Train_Log[[#This Row],[COURSE NAME:]],FIND(" - ", Train_Log[[#This Row],[COURSE NAME:]]), 13)</f>
        <v/>
      </c>
      <c r="T273" s="62">
        <f>MID(E273, FIND(" - ", E273) + 3, LEN(E273)) &amp; "_" &amp; TEXT(F273, "yyyymmdd") &amp; "_" &amp; TEXT(H273, "yyyymmdd")</f>
        <v/>
      </c>
    </row>
    <row r="274">
      <c r="B274" s="38" t="inlineStr">
        <is>
          <t>EE90</t>
        </is>
      </c>
      <c r="C274" s="38" t="inlineStr">
        <is>
          <t>No</t>
        </is>
      </c>
      <c r="D274" s="39" t="inlineStr">
        <is>
          <t>5026811</t>
        </is>
      </c>
      <c r="E274" s="38" t="inlineStr">
        <is>
          <t>PHONES - EMPLOYMENT VERIFICATION</t>
        </is>
      </c>
      <c r="F274" s="44" t="n">
        <v>45481</v>
      </c>
      <c r="G274" s="40" t="n">
        <v>45483</v>
      </c>
      <c r="H274" s="44" t="n">
        <v>45483</v>
      </c>
      <c r="I274" s="41" t="n">
        <v>2</v>
      </c>
      <c r="J274" s="42" t="n">
        <v>2</v>
      </c>
      <c r="K274" s="38" t="inlineStr">
        <is>
          <t>TR 4</t>
        </is>
      </c>
      <c r="L274" s="38" t="inlineStr">
        <is>
          <t>TR 1</t>
        </is>
      </c>
      <c r="M274" s="38" t="inlineStr">
        <is>
          <t>--</t>
        </is>
      </c>
      <c r="N274" s="38" t="inlineStr">
        <is>
          <t>--</t>
        </is>
      </c>
      <c r="O274" s="38" t="inlineStr">
        <is>
          <t>JJH</t>
        </is>
      </c>
      <c r="Q274" s="62">
        <f>IF(C274="Yes", 1, IF(C274="no", 0, IF(C274= "tardy", SUM(J274/I274),"")))</f>
        <v/>
      </c>
      <c r="R274" s="62">
        <f>LEFT(Train_Log[[#This Row],[COURSE NAME:]],FIND(" - ", Train_Log[[#This Row],[COURSE NAME:]]) -1)</f>
        <v/>
      </c>
      <c r="S274" s="62">
        <f>MID(Train_Log[[#This Row],[COURSE NAME:]],FIND(" - ", Train_Log[[#This Row],[COURSE NAME:]]), 13)</f>
        <v/>
      </c>
      <c r="T274" s="62">
        <f>MID(E274, FIND(" - ", E274) + 3, LEN(E274)) &amp; "_" &amp; TEXT(F274, "yyyymmdd") &amp; "_" &amp; TEXT(H274, "yyyymmdd")</f>
        <v/>
      </c>
    </row>
    <row r="275">
      <c r="B275" s="38" t="inlineStr">
        <is>
          <t>EE6</t>
        </is>
      </c>
      <c r="C275" s="38" t="inlineStr">
        <is>
          <t>No</t>
        </is>
      </c>
      <c r="D275" s="39" t="inlineStr">
        <is>
          <t>4936213</t>
        </is>
      </c>
      <c r="E275" s="38" t="inlineStr">
        <is>
          <t>RTR - EFORM SEPARATIONS TRAINING</t>
        </is>
      </c>
      <c r="F275" s="44" t="n">
        <v>45773</v>
      </c>
      <c r="G275" s="40" t="n">
        <v>45777</v>
      </c>
      <c r="H275" s="44" t="n">
        <v>45777</v>
      </c>
      <c r="I275" s="41" t="n">
        <v>4</v>
      </c>
      <c r="J275" s="42" t="n">
        <v>4</v>
      </c>
      <c r="K275" s="38" t="inlineStr">
        <is>
          <t>TR 9</t>
        </is>
      </c>
      <c r="L275" s="38" t="inlineStr">
        <is>
          <t>TR 7</t>
        </is>
      </c>
      <c r="M275" s="38" t="inlineStr">
        <is>
          <t>--</t>
        </is>
      </c>
      <c r="N275" s="38" t="inlineStr">
        <is>
          <t>--</t>
        </is>
      </c>
      <c r="O275" s="38" t="inlineStr">
        <is>
          <t>JJH</t>
        </is>
      </c>
      <c r="Q275" s="62">
        <f>IF(C275="Yes", 1, IF(C275="no", 0, IF(C275= "tardy", SUM(J275/I275),"")))</f>
        <v/>
      </c>
      <c r="R275" s="62">
        <f>LEFT(Train_Log[[#This Row],[COURSE NAME:]],FIND(" - ", Train_Log[[#This Row],[COURSE NAME:]]) -1)</f>
        <v/>
      </c>
      <c r="S275" s="62">
        <f>MID(Train_Log[[#This Row],[COURSE NAME:]],FIND(" - ", Train_Log[[#This Row],[COURSE NAME:]]), 13)</f>
        <v/>
      </c>
      <c r="T275" s="62">
        <f>MID(E275, FIND(" - ", E275) + 3, LEN(E275)) &amp; "_" &amp; TEXT(F275, "yyyymmdd") &amp; "_" &amp; TEXT(H275, "yyyymmdd")</f>
        <v/>
      </c>
    </row>
    <row r="276">
      <c r="B276" s="38" t="inlineStr">
        <is>
          <t>EE59</t>
        </is>
      </c>
      <c r="C276" s="38" t="inlineStr">
        <is>
          <t>No</t>
        </is>
      </c>
      <c r="D276" t="inlineStr">
        <is>
          <t>5516807</t>
        </is>
      </c>
      <c r="E276" s="38" t="inlineStr">
        <is>
          <t>SUPPORT - TRAINING - PTSP TRAINING</t>
        </is>
      </c>
      <c r="F276" s="40" t="n">
        <v>45770</v>
      </c>
      <c r="G276" s="40" t="n">
        <v>45770</v>
      </c>
      <c r="H276" s="40" t="n">
        <v>45770</v>
      </c>
      <c r="I276" s="41" t="n">
        <v>2</v>
      </c>
      <c r="J276" s="41" t="n">
        <v>2</v>
      </c>
      <c r="K276" s="38" t="inlineStr">
        <is>
          <t>TR 2</t>
        </is>
      </c>
      <c r="L276" s="38" t="inlineStr">
        <is>
          <t>TR 1</t>
        </is>
      </c>
      <c r="M276" s="38" t="inlineStr">
        <is>
          <t>--</t>
        </is>
      </c>
      <c r="N276" s="38" t="inlineStr">
        <is>
          <t>--</t>
        </is>
      </c>
      <c r="O276" s="38" t="inlineStr">
        <is>
          <t>JJH</t>
        </is>
      </c>
      <c r="Q276" s="62">
        <f>IF(C276="Yes", 1, IF(C276="no", 0, IF(C276= "tardy", SUM(J276/I276),"")))</f>
        <v/>
      </c>
      <c r="R276" s="62">
        <f>LEFT(Train_Log[[#This Row],[COURSE NAME:]],FIND(" - ", Train_Log[[#This Row],[COURSE NAME:]]) -1)</f>
        <v/>
      </c>
      <c r="S276" s="62">
        <f>MID(Train_Log[[#This Row],[COURSE NAME:]],FIND(" - ", Train_Log[[#This Row],[COURSE NAME:]]), 13)</f>
        <v/>
      </c>
      <c r="T276" s="62">
        <f>MID(E276, FIND(" - ", E276) + 3, LEN(E276)) &amp; "_" &amp; TEXT(F276, "yyyymmdd") &amp; "_" &amp; TEXT(H276, "yyyymmdd")</f>
        <v/>
      </c>
    </row>
    <row r="277">
      <c r="B277" s="38" t="inlineStr">
        <is>
          <t>EE170</t>
        </is>
      </c>
      <c r="C277" s="38" t="inlineStr">
        <is>
          <t>No</t>
        </is>
      </c>
      <c r="D277" t="inlineStr">
        <is>
          <t>5251768</t>
        </is>
      </c>
      <c r="E277" s="38" t="inlineStr">
        <is>
          <t>LWOP - HCES SU FACILITATION TRAINING</t>
        </is>
      </c>
      <c r="F277" s="40" t="n">
        <v>45315</v>
      </c>
      <c r="G277" s="40" t="n">
        <v>45315</v>
      </c>
      <c r="H277" s="40" t="n">
        <v>45315</v>
      </c>
      <c r="I277" s="41" t="n">
        <v>2</v>
      </c>
      <c r="J277" s="41" t="n">
        <v>2</v>
      </c>
      <c r="K277" s="38" t="inlineStr">
        <is>
          <t>TR 10</t>
        </is>
      </c>
      <c r="L277" s="38" t="inlineStr">
        <is>
          <t>TR 1</t>
        </is>
      </c>
      <c r="M277" s="38" t="inlineStr">
        <is>
          <t>--</t>
        </is>
      </c>
      <c r="N277" s="38" t="inlineStr">
        <is>
          <t>--</t>
        </is>
      </c>
      <c r="O277" s="38" t="inlineStr">
        <is>
          <t>JJH</t>
        </is>
      </c>
      <c r="P277" s="50" t="n"/>
      <c r="Q277" s="62">
        <f>IF(C277="Yes", 1, IF(C277="no", 0, IF(C277= "tardy", SUM(J277/I277),"")))</f>
        <v/>
      </c>
      <c r="R277" s="62">
        <f>LEFT(Train_Log[[#This Row],[COURSE NAME:]],FIND(" - ", Train_Log[[#This Row],[COURSE NAME:]]) -1)</f>
        <v/>
      </c>
      <c r="S277" s="62">
        <f>MID(Train_Log[[#This Row],[COURSE NAME:]],FIND(" - ", Train_Log[[#This Row],[COURSE NAME:]]), 13)</f>
        <v/>
      </c>
      <c r="T277" s="62">
        <f>MID(E277, FIND(" - ", E277) + 3, LEN(E277)) &amp; "_" &amp; TEXT(F277, "yyyymmdd") &amp; "_" &amp; TEXT(H277, "yyyymmdd")</f>
        <v/>
      </c>
    </row>
    <row r="278">
      <c r="B278" s="38" t="inlineStr">
        <is>
          <t>EE115</t>
        </is>
      </c>
      <c r="C278" s="38" t="inlineStr">
        <is>
          <t>tardy</t>
        </is>
      </c>
      <c r="D278" s="39" t="inlineStr">
        <is>
          <t>6696316</t>
        </is>
      </c>
      <c r="E278" s="38" t="inlineStr">
        <is>
          <t>PHONES - BENEFITS</t>
        </is>
      </c>
      <c r="F278" s="40" t="n">
        <v>45549</v>
      </c>
      <c r="G278" s="40" t="n">
        <v>45553</v>
      </c>
      <c r="H278" s="40" t="n">
        <v>45553</v>
      </c>
      <c r="I278" s="41" t="n">
        <v>4</v>
      </c>
      <c r="J278" s="41" t="n">
        <v>2.37</v>
      </c>
      <c r="K278" s="38" t="inlineStr">
        <is>
          <t>TR 4</t>
        </is>
      </c>
      <c r="L278" s="38" t="inlineStr">
        <is>
          <t>TR 1</t>
        </is>
      </c>
      <c r="M278" s="38" t="inlineStr">
        <is>
          <t>--</t>
        </is>
      </c>
      <c r="N278" s="38" t="inlineStr">
        <is>
          <t>--</t>
        </is>
      </c>
      <c r="O278" s="38" t="inlineStr">
        <is>
          <t>JJH</t>
        </is>
      </c>
      <c r="P278" s="44" t="n"/>
      <c r="Q278" s="62">
        <f>IF(C278="Yes", 1, IF(C278="no", 0, IF(C278= "tardy", SUM(J278/I278),"")))</f>
        <v/>
      </c>
      <c r="R278" s="62">
        <f>LEFT(Train_Log[[#This Row],[COURSE NAME:]],FIND(" - ", Train_Log[[#This Row],[COURSE NAME:]]) -1)</f>
        <v/>
      </c>
      <c r="S278" s="62">
        <f>MID(Train_Log[[#This Row],[COURSE NAME:]],FIND(" - ", Train_Log[[#This Row],[COURSE NAME:]]), 13)</f>
        <v/>
      </c>
      <c r="T278" s="62">
        <f>MID(E278, FIND(" - ", E278) + 3, LEN(E278)) &amp; "_" &amp; TEXT(F278, "yyyymmdd") &amp; "_" &amp; TEXT(H278, "yyyymmdd")</f>
        <v/>
      </c>
    </row>
    <row r="279">
      <c r="B279" s="38" t="inlineStr">
        <is>
          <t>EE36</t>
        </is>
      </c>
      <c r="C279" s="38" t="inlineStr">
        <is>
          <t>No</t>
        </is>
      </c>
      <c r="D279" s="39" t="inlineStr">
        <is>
          <t>5427114</t>
        </is>
      </c>
      <c r="E279" s="38" t="inlineStr">
        <is>
          <t>RTR - EFORM SEPARATIONS TRAINING</t>
        </is>
      </c>
      <c r="F279" s="40" t="n">
        <v>45538</v>
      </c>
      <c r="G279" s="40" t="n">
        <v>45542</v>
      </c>
      <c r="H279" s="40" t="n">
        <v>45542</v>
      </c>
      <c r="I279" s="41" t="n">
        <v>8</v>
      </c>
      <c r="J279" s="41" t="n">
        <v>8</v>
      </c>
      <c r="K279" s="38" t="inlineStr">
        <is>
          <t>TR 10</t>
        </is>
      </c>
      <c r="L279" s="38" t="inlineStr">
        <is>
          <t>--</t>
        </is>
      </c>
      <c r="M279" s="38" t="inlineStr">
        <is>
          <t>--</t>
        </is>
      </c>
      <c r="N279" s="38" t="inlineStr">
        <is>
          <t>--</t>
        </is>
      </c>
      <c r="O279" s="38" t="inlineStr">
        <is>
          <t>JJH</t>
        </is>
      </c>
      <c r="P279" s="44" t="n"/>
      <c r="Q279" s="62">
        <f>IF(C279="Yes", 1, IF(C279="no", 0, IF(C279= "tardy", SUM(J279/I279),"")))</f>
        <v/>
      </c>
      <c r="R279" s="62">
        <f>LEFT(Train_Log[[#This Row],[COURSE NAME:]],FIND(" - ", Train_Log[[#This Row],[COURSE NAME:]]) -1)</f>
        <v/>
      </c>
      <c r="S279" s="62">
        <f>MID(Train_Log[[#This Row],[COURSE NAME:]],FIND(" - ", Train_Log[[#This Row],[COURSE NAME:]]), 13)</f>
        <v/>
      </c>
      <c r="T279" s="62">
        <f>MID(E279, FIND(" - ", E279) + 3, LEN(E279)) &amp; "_" &amp; TEXT(F279, "yyyymmdd") &amp; "_" &amp; TEXT(H279, "yyyymmdd")</f>
        <v/>
      </c>
    </row>
    <row r="280">
      <c r="B280" s="38" t="inlineStr">
        <is>
          <t>EE83</t>
        </is>
      </c>
      <c r="C280" s="38" t="inlineStr">
        <is>
          <t>No</t>
        </is>
      </c>
      <c r="D280" t="inlineStr">
        <is>
          <t>6867006</t>
        </is>
      </c>
      <c r="E280" s="38" t="inlineStr">
        <is>
          <t>SUPPORT - TRAINING - PTSP TRAINING</t>
        </is>
      </c>
      <c r="F280" s="40" t="n">
        <v>45608</v>
      </c>
      <c r="G280" s="40" t="n">
        <v>45608</v>
      </c>
      <c r="H280" s="40" t="n">
        <v>45608</v>
      </c>
      <c r="I280" s="41" t="n">
        <v>8</v>
      </c>
      <c r="J280" s="41" t="n">
        <v>8</v>
      </c>
      <c r="K280" s="38" t="inlineStr">
        <is>
          <t>TR 4</t>
        </is>
      </c>
      <c r="L280" s="38" t="inlineStr">
        <is>
          <t>TR 7</t>
        </is>
      </c>
      <c r="M280" s="38" t="inlineStr">
        <is>
          <t>--</t>
        </is>
      </c>
      <c r="N280" s="38" t="inlineStr">
        <is>
          <t>--</t>
        </is>
      </c>
      <c r="O280" s="38" t="inlineStr">
        <is>
          <t>JJH</t>
        </is>
      </c>
      <c r="Q280" s="62">
        <f>IF(C280="Yes", 1, IF(C280="no", 0, IF(C280= "tardy", SUM(J280/I280),"")))</f>
        <v/>
      </c>
      <c r="R280" s="62">
        <f>LEFT(Train_Log[[#This Row],[COURSE NAME:]],FIND(" - ", Train_Log[[#This Row],[COURSE NAME:]]) -1)</f>
        <v/>
      </c>
      <c r="S280" s="62">
        <f>MID(Train_Log[[#This Row],[COURSE NAME:]],FIND(" - ", Train_Log[[#This Row],[COURSE NAME:]]), 13)</f>
        <v/>
      </c>
      <c r="T280" s="62">
        <f>MID(E280, FIND(" - ", E280) + 3, LEN(E280)) &amp; "_" &amp; TEXT(F280, "yyyymmdd") &amp; "_" &amp; TEXT(H280, "yyyymmdd")</f>
        <v/>
      </c>
    </row>
    <row r="281">
      <c r="B281" s="38" t="inlineStr">
        <is>
          <t>EE77</t>
        </is>
      </c>
      <c r="C281" s="38" t="inlineStr">
        <is>
          <t>No</t>
        </is>
      </c>
      <c r="D281" t="inlineStr">
        <is>
          <t>5552651</t>
        </is>
      </c>
      <c r="E281" s="38" t="inlineStr">
        <is>
          <t>RTR - EFORM SEPARATIONS TRAINING</t>
        </is>
      </c>
      <c r="F281" s="40" t="n">
        <v>45361</v>
      </c>
      <c r="G281" s="40" t="n">
        <v>45363</v>
      </c>
      <c r="H281" s="40" t="n">
        <v>45363</v>
      </c>
      <c r="I281" s="41" t="n">
        <v>2</v>
      </c>
      <c r="J281" s="41" t="n">
        <v>2</v>
      </c>
      <c r="K281" s="38" t="inlineStr">
        <is>
          <t>TR 7</t>
        </is>
      </c>
      <c r="L281" s="38" t="inlineStr">
        <is>
          <t>TR 9</t>
        </is>
      </c>
      <c r="M281" s="38" t="inlineStr">
        <is>
          <t>--</t>
        </is>
      </c>
      <c r="N281" s="38" t="inlineStr">
        <is>
          <t>--</t>
        </is>
      </c>
      <c r="O281" s="38" t="inlineStr">
        <is>
          <t>JJH</t>
        </is>
      </c>
      <c r="P281" s="59" t="n"/>
      <c r="Q281" s="62">
        <f>IF(C281="Yes", 1, IF(C281="no", 0, IF(C281= "tardy", SUM(J281/I281),"")))</f>
        <v/>
      </c>
      <c r="R281" s="62">
        <f>LEFT(Train_Log[[#This Row],[COURSE NAME:]],FIND(" - ", Train_Log[[#This Row],[COURSE NAME:]]) -1)</f>
        <v/>
      </c>
      <c r="S281" s="62">
        <f>MID(Train_Log[[#This Row],[COURSE NAME:]],FIND(" - ", Train_Log[[#This Row],[COURSE NAME:]]), 13)</f>
        <v/>
      </c>
      <c r="T281" s="62">
        <f>MID(E281, FIND(" - ", E281) + 3, LEN(E281)) &amp; "_" &amp; TEXT(F281, "yyyymmdd") &amp; "_" &amp; TEXT(H281, "yyyymmdd")</f>
        <v/>
      </c>
    </row>
    <row r="282">
      <c r="B282" s="38" t="inlineStr">
        <is>
          <t>EE127</t>
        </is>
      </c>
      <c r="C282" s="38" t="inlineStr">
        <is>
          <t>No</t>
        </is>
      </c>
      <c r="D282" t="inlineStr">
        <is>
          <t>5675207</t>
        </is>
      </c>
      <c r="E282" s="38" t="inlineStr">
        <is>
          <t>PHONES - BENEFITS</t>
        </is>
      </c>
      <c r="F282" s="40" t="n">
        <v>45651</v>
      </c>
      <c r="G282" s="40" t="n">
        <v>45655</v>
      </c>
      <c r="H282" s="40" t="n">
        <v>45655</v>
      </c>
      <c r="I282" s="41" t="n">
        <v>8</v>
      </c>
      <c r="J282" s="41" t="n">
        <v>8</v>
      </c>
      <c r="K282" s="38" t="inlineStr">
        <is>
          <t>TR 6</t>
        </is>
      </c>
      <c r="L282" s="38" t="inlineStr">
        <is>
          <t>TR 7</t>
        </is>
      </c>
      <c r="M282" s="38" t="inlineStr">
        <is>
          <t>--</t>
        </is>
      </c>
      <c r="N282" s="38" t="inlineStr">
        <is>
          <t>--</t>
        </is>
      </c>
      <c r="O282" s="38" t="inlineStr">
        <is>
          <t>JJH</t>
        </is>
      </c>
      <c r="P282" s="59" t="n"/>
      <c r="Q282" s="62">
        <f>IF(C282="Yes", 1, IF(C282="no", 0, IF(C282= "tardy", SUM(J282/I282),"")))</f>
        <v/>
      </c>
      <c r="R282" s="62">
        <f>LEFT(Train_Log[[#This Row],[COURSE NAME:]],FIND(" - ", Train_Log[[#This Row],[COURSE NAME:]]) -1)</f>
        <v/>
      </c>
      <c r="S282" s="62">
        <f>MID(Train_Log[[#This Row],[COURSE NAME:]],FIND(" - ", Train_Log[[#This Row],[COURSE NAME:]]), 13)</f>
        <v/>
      </c>
      <c r="T282" s="62">
        <f>MID(E282, FIND(" - ", E282) + 3, LEN(E282)) &amp; "_" &amp; TEXT(F282, "yyyymmdd") &amp; "_" &amp; TEXT(H282, "yyyymmdd")</f>
        <v/>
      </c>
    </row>
    <row r="283">
      <c r="B283" s="38" t="inlineStr">
        <is>
          <t>EE105</t>
        </is>
      </c>
      <c r="C283" s="38" t="inlineStr">
        <is>
          <t>No</t>
        </is>
      </c>
      <c r="D283" t="inlineStr">
        <is>
          <t>5682607</t>
        </is>
      </c>
      <c r="E283" s="38" t="inlineStr">
        <is>
          <t>PHONES - LWOP</t>
        </is>
      </c>
      <c r="F283" s="40" t="n">
        <v>45606</v>
      </c>
      <c r="G283" s="40" t="n">
        <v>45607</v>
      </c>
      <c r="H283" s="40" t="n">
        <v>45607</v>
      </c>
      <c r="I283" s="41" t="n">
        <v>8</v>
      </c>
      <c r="J283" s="41" t="n">
        <v>8</v>
      </c>
      <c r="K283" s="38" t="inlineStr">
        <is>
          <t>TR 8</t>
        </is>
      </c>
      <c r="L283" s="38" t="inlineStr">
        <is>
          <t>TR 4</t>
        </is>
      </c>
      <c r="M283" s="38" t="inlineStr">
        <is>
          <t>--</t>
        </is>
      </c>
      <c r="N283" s="38" t="inlineStr">
        <is>
          <t>--</t>
        </is>
      </c>
      <c r="O283" s="38" t="inlineStr">
        <is>
          <t>JJH</t>
        </is>
      </c>
      <c r="P283" s="59" t="n"/>
      <c r="Q283" s="62">
        <f>IF(C283="Yes", 1, IF(C283="no", 0, IF(C283= "tardy", SUM(J283/I283),"")))</f>
        <v/>
      </c>
      <c r="R283" s="62">
        <f>LEFT(Train_Log[[#This Row],[COURSE NAME:]],FIND(" - ", Train_Log[[#This Row],[COURSE NAME:]]) -1)</f>
        <v/>
      </c>
      <c r="S283" s="62">
        <f>MID(Train_Log[[#This Row],[COURSE NAME:]],FIND(" - ", Train_Log[[#This Row],[COURSE NAME:]]), 13)</f>
        <v/>
      </c>
      <c r="T283" s="62">
        <f>MID(E283, FIND(" - ", E283) + 3, LEN(E283)) &amp; "_" &amp; TEXT(F283, "yyyymmdd") &amp; "_" &amp; TEXT(H283, "yyyymmdd")</f>
        <v/>
      </c>
    </row>
    <row r="284">
      <c r="B284" s="38" t="inlineStr">
        <is>
          <t>EE58</t>
        </is>
      </c>
      <c r="C284" s="38" t="inlineStr">
        <is>
          <t>No</t>
        </is>
      </c>
      <c r="D284" t="inlineStr">
        <is>
          <t>6594259</t>
        </is>
      </c>
      <c r="E284" s="38" t="inlineStr">
        <is>
          <t>RTR - EFORM SEPARATIONS TRAINING</t>
        </is>
      </c>
      <c r="F284" s="40" t="n">
        <v>45446</v>
      </c>
      <c r="G284" s="40" t="n">
        <v>45447</v>
      </c>
      <c r="H284" s="40" t="n">
        <v>45447</v>
      </c>
      <c r="I284" s="41" t="n">
        <v>8</v>
      </c>
      <c r="J284" s="41" t="n">
        <v>8</v>
      </c>
      <c r="K284" s="38" t="inlineStr">
        <is>
          <t>TR 7</t>
        </is>
      </c>
      <c r="L284" s="38" t="inlineStr">
        <is>
          <t>TR 7</t>
        </is>
      </c>
      <c r="M284" s="38" t="inlineStr">
        <is>
          <t>--</t>
        </is>
      </c>
      <c r="N284" s="38" t="inlineStr">
        <is>
          <t>--</t>
        </is>
      </c>
      <c r="O284" s="38" t="inlineStr">
        <is>
          <t>JJH</t>
        </is>
      </c>
      <c r="P284" s="59" t="n"/>
      <c r="Q284" s="62">
        <f>IF(C284="Yes", 1, IF(C284="no", 0, IF(C284= "tardy", SUM(J284/I284),"")))</f>
        <v/>
      </c>
      <c r="R284" s="62">
        <f>LEFT(Train_Log[[#This Row],[COURSE NAME:]],FIND(" - ", Train_Log[[#This Row],[COURSE NAME:]]) -1)</f>
        <v/>
      </c>
      <c r="S284" s="62">
        <f>MID(Train_Log[[#This Row],[COURSE NAME:]],FIND(" - ", Train_Log[[#This Row],[COURSE NAME:]]), 13)</f>
        <v/>
      </c>
      <c r="T284" s="62">
        <f>MID(E284, FIND(" - ", E284) + 3, LEN(E284)) &amp; "_" &amp; TEXT(F284, "yyyymmdd") &amp; "_" &amp; TEXT(H284, "yyyymmdd")</f>
        <v/>
      </c>
    </row>
    <row r="285">
      <c r="B285" s="38" t="inlineStr">
        <is>
          <t>EE143</t>
        </is>
      </c>
      <c r="C285" s="38" t="inlineStr">
        <is>
          <t>No</t>
        </is>
      </c>
      <c r="D285" t="inlineStr">
        <is>
          <t>5613831</t>
        </is>
      </c>
      <c r="E285" s="38" t="inlineStr">
        <is>
          <t>PHONES - LWOP</t>
        </is>
      </c>
      <c r="F285" s="40" t="n">
        <v>45696</v>
      </c>
      <c r="G285" s="40" t="n">
        <v>45696</v>
      </c>
      <c r="H285" s="40" t="n">
        <v>45696</v>
      </c>
      <c r="I285" s="41" t="n">
        <v>3</v>
      </c>
      <c r="J285" s="41" t="n">
        <v>3</v>
      </c>
      <c r="K285" s="38" t="inlineStr">
        <is>
          <t>TR 2</t>
        </is>
      </c>
      <c r="L285" s="38" t="inlineStr">
        <is>
          <t>TR 8</t>
        </is>
      </c>
      <c r="M285" s="38" t="inlineStr">
        <is>
          <t>--</t>
        </is>
      </c>
      <c r="N285" s="38" t="inlineStr">
        <is>
          <t>--</t>
        </is>
      </c>
      <c r="O285" s="38" t="inlineStr">
        <is>
          <t>JJH</t>
        </is>
      </c>
      <c r="Q285" s="62">
        <f>IF(C285="Yes", 1, IF(C285="no", 0, IF(C285= "tardy", SUM(J285/I285),"")))</f>
        <v/>
      </c>
      <c r="R285" s="62">
        <f>LEFT(Train_Log[[#This Row],[COURSE NAME:]],FIND(" - ", Train_Log[[#This Row],[COURSE NAME:]]) -1)</f>
        <v/>
      </c>
      <c r="S285" s="62">
        <f>MID(Train_Log[[#This Row],[COURSE NAME:]],FIND(" - ", Train_Log[[#This Row],[COURSE NAME:]]), 13)</f>
        <v/>
      </c>
      <c r="T285" s="62">
        <f>MID(E285, FIND(" - ", E285) + 3, LEN(E285)) &amp; "_" &amp; TEXT(F285, "yyyymmdd") &amp; "_" &amp; TEXT(H285, "yyyymmdd")</f>
        <v/>
      </c>
    </row>
    <row r="286">
      <c r="B286" s="45" t="inlineStr">
        <is>
          <t>EE95</t>
        </is>
      </c>
      <c r="C286" s="38" t="inlineStr">
        <is>
          <t>No</t>
        </is>
      </c>
      <c r="D286" s="46" t="inlineStr">
        <is>
          <t>6684353</t>
        </is>
      </c>
      <c r="E286" s="45" t="inlineStr">
        <is>
          <t>PHONES - EMPLOYMENT VERIFICATION</t>
        </is>
      </c>
      <c r="F286" s="44" t="n">
        <v>45494</v>
      </c>
      <c r="G286" s="40" t="n">
        <v>45494</v>
      </c>
      <c r="H286" s="44" t="n">
        <v>45494</v>
      </c>
      <c r="I286" s="41" t="n">
        <v>8</v>
      </c>
      <c r="J286" s="47" t="n">
        <v>8</v>
      </c>
      <c r="K286" s="45" t="inlineStr">
        <is>
          <t>TR 10</t>
        </is>
      </c>
      <c r="L286" s="45" t="inlineStr">
        <is>
          <t>TR 1</t>
        </is>
      </c>
      <c r="M286" s="45" t="inlineStr">
        <is>
          <t>--</t>
        </is>
      </c>
      <c r="N286" s="38" t="inlineStr">
        <is>
          <t>--</t>
        </is>
      </c>
      <c r="O286" s="38" t="inlineStr">
        <is>
          <t>JJH</t>
        </is>
      </c>
      <c r="Q286" s="62">
        <f>IF(C286="Yes", 1, IF(C286="no", 0, IF(C286= "tardy", SUM(J286/I286),"")))</f>
        <v/>
      </c>
      <c r="R286" s="62">
        <f>LEFT(Train_Log[[#This Row],[COURSE NAME:]],FIND(" - ", Train_Log[[#This Row],[COURSE NAME:]]) -1)</f>
        <v/>
      </c>
      <c r="S286" s="62">
        <f>MID(Train_Log[[#This Row],[COURSE NAME:]],FIND(" - ", Train_Log[[#This Row],[COURSE NAME:]]), 13)</f>
        <v/>
      </c>
      <c r="T286" s="62">
        <f>MID(E286, FIND(" - ", E286) + 3, LEN(E286)) &amp; "_" &amp; TEXT(F286, "yyyymmdd") &amp; "_" &amp; TEXT(H286, "yyyymmdd")</f>
        <v/>
      </c>
    </row>
    <row r="287">
      <c r="B287" s="38" t="inlineStr">
        <is>
          <t>EE19</t>
        </is>
      </c>
      <c r="C287" s="38" t="inlineStr">
        <is>
          <t>No</t>
        </is>
      </c>
      <c r="D287" s="39" t="inlineStr">
        <is>
          <t>6119613</t>
        </is>
      </c>
      <c r="E287" s="38" t="inlineStr">
        <is>
          <t>SUPPORT - TRAINING - PTSP TRAINING</t>
        </is>
      </c>
      <c r="F287" s="44" t="n">
        <v>45521</v>
      </c>
      <c r="G287" s="40" t="n">
        <v>45522</v>
      </c>
      <c r="H287" s="44" t="n">
        <v>45522</v>
      </c>
      <c r="I287" s="41" t="n">
        <v>3</v>
      </c>
      <c r="J287" s="42" t="n">
        <v>3</v>
      </c>
      <c r="K287" s="38" t="inlineStr">
        <is>
          <t>TR 5</t>
        </is>
      </c>
      <c r="L287" s="38" t="inlineStr">
        <is>
          <t>TR 1</t>
        </is>
      </c>
      <c r="M287" s="38" t="inlineStr">
        <is>
          <t>--</t>
        </is>
      </c>
      <c r="N287" s="38" t="inlineStr">
        <is>
          <t>--</t>
        </is>
      </c>
      <c r="O287" s="38" t="inlineStr">
        <is>
          <t>JJH</t>
        </is>
      </c>
      <c r="Q287" s="62">
        <f>IF(C287="Yes", 1, IF(C287="no", 0, IF(C287= "tardy", SUM(J287/I287),"")))</f>
        <v/>
      </c>
      <c r="R287" s="62">
        <f>LEFT(Train_Log[[#This Row],[COURSE NAME:]],FIND(" - ", Train_Log[[#This Row],[COURSE NAME:]]) -1)</f>
        <v/>
      </c>
      <c r="S287" s="62">
        <f>MID(Train_Log[[#This Row],[COURSE NAME:]],FIND(" - ", Train_Log[[#This Row],[COURSE NAME:]]), 13)</f>
        <v/>
      </c>
      <c r="T287" s="62">
        <f>MID(E287, FIND(" - ", E287) + 3, LEN(E287)) &amp; "_" &amp; TEXT(F287, "yyyymmdd") &amp; "_" &amp; TEXT(H287, "yyyymmdd")</f>
        <v/>
      </c>
    </row>
    <row r="288">
      <c r="B288" s="38" t="inlineStr">
        <is>
          <t>EE55</t>
        </is>
      </c>
      <c r="C288" s="38" t="inlineStr">
        <is>
          <t>No</t>
        </is>
      </c>
      <c r="D288" s="39" t="inlineStr">
        <is>
          <t>6315426</t>
        </is>
      </c>
      <c r="E288" s="38" t="inlineStr">
        <is>
          <t>SUPPORT - TRAINING - PTSP TRAINING</t>
        </is>
      </c>
      <c r="F288" s="44" t="n">
        <v>45419</v>
      </c>
      <c r="G288" s="40" t="n">
        <v>45423</v>
      </c>
      <c r="H288" s="44" t="n">
        <v>45423</v>
      </c>
      <c r="I288" s="41" t="n">
        <v>4</v>
      </c>
      <c r="J288" s="42" t="n">
        <v>4</v>
      </c>
      <c r="K288" s="38" t="inlineStr">
        <is>
          <t>TR 4</t>
        </is>
      </c>
      <c r="L288" s="38" t="inlineStr">
        <is>
          <t>TR 10</t>
        </is>
      </c>
      <c r="M288" s="38" t="inlineStr">
        <is>
          <t>--</t>
        </is>
      </c>
      <c r="N288" s="38" t="inlineStr">
        <is>
          <t>--</t>
        </is>
      </c>
      <c r="O288" s="38" t="inlineStr">
        <is>
          <t>JJH</t>
        </is>
      </c>
      <c r="Q288" s="62">
        <f>IF(C288="Yes", 1, IF(C288="no", 0, IF(C288= "tardy", SUM(J288/I288),"")))</f>
        <v/>
      </c>
      <c r="R288" s="62">
        <f>LEFT(Train_Log[[#This Row],[COURSE NAME:]],FIND(" - ", Train_Log[[#This Row],[COURSE NAME:]]) -1)</f>
        <v/>
      </c>
      <c r="S288" s="62">
        <f>MID(Train_Log[[#This Row],[COURSE NAME:]],FIND(" - ", Train_Log[[#This Row],[COURSE NAME:]]), 13)</f>
        <v/>
      </c>
      <c r="T288" s="62">
        <f>MID(E288, FIND(" - ", E288) + 3, LEN(E288)) &amp; "_" &amp; TEXT(F288, "yyyymmdd") &amp; "_" &amp; TEXT(H288, "yyyymmdd")</f>
        <v/>
      </c>
    </row>
    <row r="289">
      <c r="B289" s="38" t="inlineStr">
        <is>
          <t>EE181</t>
        </is>
      </c>
      <c r="C289" s="38" t="inlineStr">
        <is>
          <t>No</t>
        </is>
      </c>
      <c r="D289" s="39" t="inlineStr">
        <is>
          <t>6512155</t>
        </is>
      </c>
      <c r="E289" s="38" t="inlineStr">
        <is>
          <t>SUPPORT - TRAINING - PTSP TRAINING</t>
        </is>
      </c>
      <c r="F289" s="44" t="n">
        <v>45705</v>
      </c>
      <c r="G289" s="40" t="n">
        <v>45705</v>
      </c>
      <c r="H289" s="44" t="n">
        <v>45705</v>
      </c>
      <c r="I289" s="41" t="n">
        <v>3</v>
      </c>
      <c r="J289" s="42" t="n">
        <v>3</v>
      </c>
      <c r="K289" s="38" t="inlineStr">
        <is>
          <t>TR 7</t>
        </is>
      </c>
      <c r="L289" s="38" t="inlineStr">
        <is>
          <t>TR 8</t>
        </is>
      </c>
      <c r="M289" s="38" t="inlineStr">
        <is>
          <t>--</t>
        </is>
      </c>
      <c r="N289" s="38" t="inlineStr">
        <is>
          <t>--</t>
        </is>
      </c>
      <c r="O289" s="38" t="inlineStr">
        <is>
          <t>JJH</t>
        </is>
      </c>
      <c r="Q289" s="62">
        <f>IF(C289="Yes", 1, IF(C289="no", 0, IF(C289= "tardy", SUM(J289/I289),"")))</f>
        <v/>
      </c>
      <c r="R289" s="62">
        <f>LEFT(Train_Log[[#This Row],[COURSE NAME:]],FIND(" - ", Train_Log[[#This Row],[COURSE NAME:]]) -1)</f>
        <v/>
      </c>
      <c r="S289" s="62">
        <f>MID(Train_Log[[#This Row],[COURSE NAME:]],FIND(" - ", Train_Log[[#This Row],[COURSE NAME:]]), 13)</f>
        <v/>
      </c>
      <c r="T289" s="62">
        <f>MID(E289, FIND(" - ", E289) + 3, LEN(E289)) &amp; "_" &amp; TEXT(F289, "yyyymmdd") &amp; "_" &amp; TEXT(H289, "yyyymmdd")</f>
        <v/>
      </c>
    </row>
    <row r="290">
      <c r="B290" s="38" t="inlineStr">
        <is>
          <t>EE137</t>
        </is>
      </c>
      <c r="C290" s="38" t="inlineStr">
        <is>
          <t>No</t>
        </is>
      </c>
      <c r="D290" s="39" t="inlineStr">
        <is>
          <t>6631699</t>
        </is>
      </c>
      <c r="E290" s="38" t="inlineStr">
        <is>
          <t>LWOP - HCES SUPERUSER TRAINING</t>
        </is>
      </c>
      <c r="F290" s="44" t="n">
        <v>45614</v>
      </c>
      <c r="G290" s="40" t="n">
        <v>45614</v>
      </c>
      <c r="H290" s="44" t="n">
        <v>45614</v>
      </c>
      <c r="I290" s="41" t="n">
        <v>4</v>
      </c>
      <c r="J290" s="42" t="n">
        <v>4</v>
      </c>
      <c r="K290" s="38" t="inlineStr">
        <is>
          <t>TR 8</t>
        </is>
      </c>
      <c r="L290" s="38" t="inlineStr">
        <is>
          <t>TR 2</t>
        </is>
      </c>
      <c r="M290" s="38" t="inlineStr">
        <is>
          <t>--</t>
        </is>
      </c>
      <c r="N290" s="38" t="inlineStr">
        <is>
          <t>--</t>
        </is>
      </c>
      <c r="O290" s="38" t="inlineStr">
        <is>
          <t>JJH</t>
        </is>
      </c>
      <c r="Q290" s="62">
        <f>IF(C290="Yes", 1, IF(C290="no", 0, IF(C290= "tardy", SUM(J290/I290),"")))</f>
        <v/>
      </c>
      <c r="R290" s="62">
        <f>LEFT(Train_Log[[#This Row],[COURSE NAME:]],FIND(" - ", Train_Log[[#This Row],[COURSE NAME:]]) -1)</f>
        <v/>
      </c>
      <c r="S290" s="62">
        <f>MID(Train_Log[[#This Row],[COURSE NAME:]],FIND(" - ", Train_Log[[#This Row],[COURSE NAME:]]), 13)</f>
        <v/>
      </c>
      <c r="T290" s="62">
        <f>MID(E290, FIND(" - ", E290) + 3, LEN(E290)) &amp; "_" &amp; TEXT(F290, "yyyymmdd") &amp; "_" &amp; TEXT(H290, "yyyymmdd")</f>
        <v/>
      </c>
    </row>
    <row r="291">
      <c r="B291" s="38" t="inlineStr">
        <is>
          <t>EE185</t>
        </is>
      </c>
      <c r="C291" s="38" t="inlineStr">
        <is>
          <t>No</t>
        </is>
      </c>
      <c r="D291" s="39" t="inlineStr">
        <is>
          <t>4469207</t>
        </is>
      </c>
      <c r="E291" s="38" t="inlineStr">
        <is>
          <t>OPTIONAL RETIREMENTS - MAILBUILD</t>
        </is>
      </c>
      <c r="F291" s="44" t="n">
        <v>45626</v>
      </c>
      <c r="G291" s="40" t="n">
        <v>45626</v>
      </c>
      <c r="H291" s="44" t="n">
        <v>45626</v>
      </c>
      <c r="I291" s="41" t="n">
        <v>4</v>
      </c>
      <c r="J291" s="42" t="n">
        <v>4</v>
      </c>
      <c r="K291" s="38" t="inlineStr">
        <is>
          <t>TR 1</t>
        </is>
      </c>
      <c r="L291" s="38" t="inlineStr">
        <is>
          <t>TR 10</t>
        </is>
      </c>
      <c r="M291" s="38" t="inlineStr">
        <is>
          <t>--</t>
        </is>
      </c>
      <c r="N291" s="38" t="inlineStr">
        <is>
          <t>--</t>
        </is>
      </c>
      <c r="O291" s="38" t="inlineStr">
        <is>
          <t>JJH</t>
        </is>
      </c>
      <c r="Q291" s="62">
        <f>IF(C291="Yes", 1, IF(C291="no", 0, IF(C291= "tardy", SUM(J291/I291),"")))</f>
        <v/>
      </c>
      <c r="R291" s="62">
        <f>LEFT(Train_Log[[#This Row],[COURSE NAME:]],FIND(" - ", Train_Log[[#This Row],[COURSE NAME:]]) -1)</f>
        <v/>
      </c>
      <c r="S291" s="62">
        <f>MID(Train_Log[[#This Row],[COURSE NAME:]],FIND(" - ", Train_Log[[#This Row],[COURSE NAME:]]), 13)</f>
        <v/>
      </c>
      <c r="T291" s="62">
        <f>MID(E291, FIND(" - ", E291) + 3, LEN(E291)) &amp; "_" &amp; TEXT(F291, "yyyymmdd") &amp; "_" &amp; TEXT(H291, "yyyymmdd")</f>
        <v/>
      </c>
    </row>
    <row r="292">
      <c r="B292" s="38" t="inlineStr">
        <is>
          <t>EE57</t>
        </is>
      </c>
      <c r="C292" s="38" t="inlineStr">
        <is>
          <t>No</t>
        </is>
      </c>
      <c r="D292" s="39" t="inlineStr">
        <is>
          <t>6636706</t>
        </is>
      </c>
      <c r="E292" s="38" t="inlineStr">
        <is>
          <t>PHONES - LWOP</t>
        </is>
      </c>
      <c r="F292" s="44" t="n">
        <v>45315</v>
      </c>
      <c r="G292" s="40" t="n">
        <v>45315</v>
      </c>
      <c r="H292" s="44" t="n">
        <v>45315</v>
      </c>
      <c r="I292" s="41" t="n">
        <v>8</v>
      </c>
      <c r="J292" s="42" t="n">
        <v>8</v>
      </c>
      <c r="K292" s="38" t="inlineStr">
        <is>
          <t>TR 10</t>
        </is>
      </c>
      <c r="L292" s="38" t="inlineStr">
        <is>
          <t>TR 7</t>
        </is>
      </c>
      <c r="M292" s="38" t="inlineStr">
        <is>
          <t>--</t>
        </is>
      </c>
      <c r="N292" s="38" t="inlineStr">
        <is>
          <t>--</t>
        </is>
      </c>
      <c r="O292" s="38" t="inlineStr">
        <is>
          <t>JJH</t>
        </is>
      </c>
      <c r="Q292" s="62">
        <f>IF(C292="Yes", 1, IF(C292="no", 0, IF(C292= "tardy", SUM(J292/I292),"")))</f>
        <v/>
      </c>
      <c r="R292" s="62">
        <f>LEFT(Train_Log[[#This Row],[COURSE NAME:]],FIND(" - ", Train_Log[[#This Row],[COURSE NAME:]]) -1)</f>
        <v/>
      </c>
      <c r="S292" s="62">
        <f>MID(Train_Log[[#This Row],[COURSE NAME:]],FIND(" - ", Train_Log[[#This Row],[COURSE NAME:]]), 13)</f>
        <v/>
      </c>
      <c r="T292" s="62">
        <f>MID(E292, FIND(" - ", E292) + 3, LEN(E292)) &amp; "_" &amp; TEXT(F292, "yyyymmdd") &amp; "_" &amp; TEXT(H292, "yyyymmdd")</f>
        <v/>
      </c>
    </row>
    <row r="293">
      <c r="B293" s="38" t="inlineStr">
        <is>
          <t>EE76</t>
        </is>
      </c>
      <c r="C293" s="38" t="inlineStr">
        <is>
          <t>No</t>
        </is>
      </c>
      <c r="D293" s="39" t="inlineStr">
        <is>
          <t>4682220</t>
        </is>
      </c>
      <c r="E293" s="38" t="inlineStr">
        <is>
          <t>PHONES - LWOP</t>
        </is>
      </c>
      <c r="F293" s="44" t="n">
        <v>45499</v>
      </c>
      <c r="G293" s="40" t="n">
        <v>45499</v>
      </c>
      <c r="H293" s="44" t="n">
        <v>45499</v>
      </c>
      <c r="I293" s="41" t="n">
        <v>8</v>
      </c>
      <c r="J293" s="42" t="n">
        <v>8</v>
      </c>
      <c r="K293" s="38" t="inlineStr">
        <is>
          <t>TR 4</t>
        </is>
      </c>
      <c r="L293" s="38" t="inlineStr">
        <is>
          <t>TR 8</t>
        </is>
      </c>
      <c r="M293" s="38" t="inlineStr">
        <is>
          <t>--</t>
        </is>
      </c>
      <c r="N293" s="38" t="inlineStr">
        <is>
          <t>--</t>
        </is>
      </c>
      <c r="O293" s="38" t="inlineStr">
        <is>
          <t>JJH</t>
        </is>
      </c>
      <c r="Q293" s="62">
        <f>IF(C293="Yes", 1, IF(C293="no", 0, IF(C293= "tardy", SUM(J293/I293),"")))</f>
        <v/>
      </c>
      <c r="R293" s="62">
        <f>LEFT(Train_Log[[#This Row],[COURSE NAME:]],FIND(" - ", Train_Log[[#This Row],[COURSE NAME:]]) -1)</f>
        <v/>
      </c>
      <c r="S293" s="62">
        <f>MID(Train_Log[[#This Row],[COURSE NAME:]],FIND(" - ", Train_Log[[#This Row],[COURSE NAME:]]), 13)</f>
        <v/>
      </c>
      <c r="T293" s="62">
        <f>MID(E293, FIND(" - ", E293) + 3, LEN(E293)) &amp; "_" &amp; TEXT(F293, "yyyymmdd") &amp; "_" &amp; TEXT(H293, "yyyymmdd")</f>
        <v/>
      </c>
    </row>
    <row r="294">
      <c r="B294" s="38" t="inlineStr">
        <is>
          <t>EE141</t>
        </is>
      </c>
      <c r="C294" s="38" t="inlineStr">
        <is>
          <t>No</t>
        </is>
      </c>
      <c r="D294" s="39" t="inlineStr">
        <is>
          <t>6501520</t>
        </is>
      </c>
      <c r="E294" s="38" t="inlineStr">
        <is>
          <t>LWOP - HCES SUPERUSER TRAINING</t>
        </is>
      </c>
      <c r="F294" s="44" t="n">
        <v>45562</v>
      </c>
      <c r="G294" s="40" t="n">
        <v>45563</v>
      </c>
      <c r="H294" s="44" t="n">
        <v>45563</v>
      </c>
      <c r="I294" s="41" t="n">
        <v>4</v>
      </c>
      <c r="J294" s="42" t="n">
        <v>4</v>
      </c>
      <c r="K294" s="38" t="inlineStr">
        <is>
          <t>TR 8</t>
        </is>
      </c>
      <c r="L294" s="38" t="inlineStr">
        <is>
          <t>TR 3</t>
        </is>
      </c>
      <c r="M294" s="38" t="inlineStr">
        <is>
          <t>--</t>
        </is>
      </c>
      <c r="N294" s="38" t="inlineStr">
        <is>
          <t>--</t>
        </is>
      </c>
      <c r="O294" s="38" t="inlineStr">
        <is>
          <t>JJH</t>
        </is>
      </c>
      <c r="Q294" s="62">
        <f>IF(C294="Yes", 1, IF(C294="no", 0, IF(C294= "tardy", SUM(J294/I294),"")))</f>
        <v/>
      </c>
      <c r="R294" s="62">
        <f>LEFT(Train_Log[[#This Row],[COURSE NAME:]],FIND(" - ", Train_Log[[#This Row],[COURSE NAME:]]) -1)</f>
        <v/>
      </c>
      <c r="S294" s="62">
        <f>MID(Train_Log[[#This Row],[COURSE NAME:]],FIND(" - ", Train_Log[[#This Row],[COURSE NAME:]]), 13)</f>
        <v/>
      </c>
      <c r="T294" s="62">
        <f>MID(E294, FIND(" - ", E294) + 3, LEN(E294)) &amp; "_" &amp; TEXT(F294, "yyyymmdd") &amp; "_" &amp; TEXT(H294, "yyyymmdd")</f>
        <v/>
      </c>
    </row>
    <row r="295">
      <c r="B295" s="38" t="inlineStr">
        <is>
          <t>EE188</t>
        </is>
      </c>
      <c r="C295" s="38" t="inlineStr">
        <is>
          <t>No</t>
        </is>
      </c>
      <c r="D295" s="39" t="inlineStr">
        <is>
          <t>5004335</t>
        </is>
      </c>
      <c r="E295" s="38" t="inlineStr">
        <is>
          <t>LWOP - HCES SUPERUSER TRAINING</t>
        </is>
      </c>
      <c r="F295" s="44" t="n">
        <v>45472</v>
      </c>
      <c r="G295" s="40" t="n">
        <v>45472</v>
      </c>
      <c r="H295" s="44" t="n">
        <v>45472</v>
      </c>
      <c r="I295" s="41" t="n">
        <v>4</v>
      </c>
      <c r="J295" s="43" t="n">
        <v>4</v>
      </c>
      <c r="K295" s="38" t="inlineStr">
        <is>
          <t>TR 3</t>
        </is>
      </c>
      <c r="L295" s="38" t="inlineStr">
        <is>
          <t>TR 9</t>
        </is>
      </c>
      <c r="M295" s="38" t="inlineStr">
        <is>
          <t>--</t>
        </is>
      </c>
      <c r="N295" s="38" t="inlineStr">
        <is>
          <t>--</t>
        </is>
      </c>
      <c r="O295" s="38" t="inlineStr">
        <is>
          <t>JJH</t>
        </is>
      </c>
      <c r="Q295" s="62">
        <f>IF(C295="Yes", 1, IF(C295="no", 0, IF(C295= "tardy", SUM(J295/I295),"")))</f>
        <v/>
      </c>
      <c r="R295" s="62">
        <f>LEFT(Train_Log[[#This Row],[COURSE NAME:]],FIND(" - ", Train_Log[[#This Row],[COURSE NAME:]]) -1)</f>
        <v/>
      </c>
      <c r="S295" s="62">
        <f>MID(Train_Log[[#This Row],[COURSE NAME:]],FIND(" - ", Train_Log[[#This Row],[COURSE NAME:]]), 13)</f>
        <v/>
      </c>
      <c r="T295" s="62">
        <f>MID(E295, FIND(" - ", E295) + 3, LEN(E295)) &amp; "_" &amp; TEXT(F295, "yyyymmdd") &amp; "_" &amp; TEXT(H295, "yyyymmdd")</f>
        <v/>
      </c>
    </row>
    <row r="296">
      <c r="B296" s="38" t="inlineStr">
        <is>
          <t>EE165</t>
        </is>
      </c>
      <c r="C296" s="38" t="inlineStr">
        <is>
          <t>No</t>
        </is>
      </c>
      <c r="D296" s="39" t="inlineStr">
        <is>
          <t>6099610</t>
        </is>
      </c>
      <c r="E296" s="38" t="inlineStr">
        <is>
          <t>PHONES - BENEFITS</t>
        </is>
      </c>
      <c r="F296" s="44" t="n">
        <v>45333</v>
      </c>
      <c r="G296" s="40" t="n">
        <v>45333</v>
      </c>
      <c r="H296" s="44" t="n">
        <v>45333</v>
      </c>
      <c r="I296" s="41" t="n">
        <v>2</v>
      </c>
      <c r="J296" s="42" t="n">
        <v>2</v>
      </c>
      <c r="K296" s="38" t="inlineStr">
        <is>
          <t>TR 1</t>
        </is>
      </c>
      <c r="L296" s="38" t="inlineStr">
        <is>
          <t>TR 7</t>
        </is>
      </c>
      <c r="M296" s="38" t="inlineStr">
        <is>
          <t>--</t>
        </is>
      </c>
      <c r="N296" s="38" t="inlineStr">
        <is>
          <t>--</t>
        </is>
      </c>
      <c r="O296" s="38" t="inlineStr">
        <is>
          <t>JJH</t>
        </is>
      </c>
      <c r="Q296" s="62">
        <f>IF(C296="Yes", 1, IF(C296="no", 0, IF(C296= "tardy", SUM(J296/I296),"")))</f>
        <v/>
      </c>
      <c r="R296" s="62">
        <f>LEFT(Train_Log[[#This Row],[COURSE NAME:]],FIND(" - ", Train_Log[[#This Row],[COURSE NAME:]]) -1)</f>
        <v/>
      </c>
      <c r="S296" s="62">
        <f>MID(Train_Log[[#This Row],[COURSE NAME:]],FIND(" - ", Train_Log[[#This Row],[COURSE NAME:]]), 13)</f>
        <v/>
      </c>
      <c r="T296" s="62">
        <f>MID(E296, FIND(" - ", E296) + 3, LEN(E296)) &amp; "_" &amp; TEXT(F296, "yyyymmdd") &amp; "_" &amp; TEXT(H296, "yyyymmdd")</f>
        <v/>
      </c>
    </row>
    <row r="297">
      <c r="B297" s="38" t="inlineStr">
        <is>
          <t>EE36</t>
        </is>
      </c>
      <c r="C297" s="38" t="inlineStr">
        <is>
          <t>No</t>
        </is>
      </c>
      <c r="D297" s="39" t="inlineStr">
        <is>
          <t>5427114</t>
        </is>
      </c>
      <c r="E297" s="38" t="inlineStr">
        <is>
          <t>SUPPORT - TRAINING - PTSP TRAINING</t>
        </is>
      </c>
      <c r="F297" s="44" t="n">
        <v>45368</v>
      </c>
      <c r="G297" s="40" t="n">
        <v>45372</v>
      </c>
      <c r="H297" s="44" t="n">
        <v>45372</v>
      </c>
      <c r="I297" s="41" t="n">
        <v>2</v>
      </c>
      <c r="J297" s="42" t="n">
        <v>2</v>
      </c>
      <c r="K297" s="38" t="inlineStr">
        <is>
          <t>TR 9</t>
        </is>
      </c>
      <c r="L297" s="38" t="inlineStr">
        <is>
          <t>TR 8</t>
        </is>
      </c>
      <c r="M297" s="38" t="inlineStr">
        <is>
          <t>--</t>
        </is>
      </c>
      <c r="N297" s="38" t="inlineStr">
        <is>
          <t>--</t>
        </is>
      </c>
      <c r="O297" s="38" t="inlineStr">
        <is>
          <t>JJH</t>
        </is>
      </c>
      <c r="Q297" s="62">
        <f>IF(C297="Yes", 1, IF(C297="no", 0, IF(C297= "tardy", SUM(J297/I297),"")))</f>
        <v/>
      </c>
      <c r="R297" s="62">
        <f>LEFT(Train_Log[[#This Row],[COURSE NAME:]],FIND(" - ", Train_Log[[#This Row],[COURSE NAME:]]) -1)</f>
        <v/>
      </c>
      <c r="S297" s="62">
        <f>MID(Train_Log[[#This Row],[COURSE NAME:]],FIND(" - ", Train_Log[[#This Row],[COURSE NAME:]]), 13)</f>
        <v/>
      </c>
      <c r="T297" s="62">
        <f>MID(E297, FIND(" - ", E297) + 3, LEN(E297)) &amp; "_" &amp; TEXT(F297, "yyyymmdd") &amp; "_" &amp; TEXT(H297, "yyyymmdd")</f>
        <v/>
      </c>
    </row>
    <row r="298">
      <c r="B298" s="38" t="inlineStr">
        <is>
          <t>EE96</t>
        </is>
      </c>
      <c r="C298" s="38" t="inlineStr">
        <is>
          <t>No</t>
        </is>
      </c>
      <c r="D298" s="39" t="inlineStr">
        <is>
          <t>6886360</t>
        </is>
      </c>
      <c r="E298" s="38" t="inlineStr">
        <is>
          <t>PHONES - BENEFITS</t>
        </is>
      </c>
      <c r="F298" s="44" t="n">
        <v>45793</v>
      </c>
      <c r="G298" s="40" t="n">
        <v>45797</v>
      </c>
      <c r="H298" s="44" t="n">
        <v>45797</v>
      </c>
      <c r="I298" s="41" t="n">
        <v>2</v>
      </c>
      <c r="J298" s="42" t="n">
        <v>2</v>
      </c>
      <c r="K298" s="38" t="inlineStr">
        <is>
          <t>TR 9</t>
        </is>
      </c>
      <c r="L298" s="38" t="inlineStr">
        <is>
          <t>TR 9</t>
        </is>
      </c>
      <c r="M298" s="38" t="inlineStr">
        <is>
          <t>--</t>
        </is>
      </c>
      <c r="N298" s="38" t="inlineStr">
        <is>
          <t>--</t>
        </is>
      </c>
      <c r="O298" s="38" t="inlineStr">
        <is>
          <t>JJH</t>
        </is>
      </c>
      <c r="Q298" s="62">
        <f>IF(C298="Yes", 1, IF(C298="no", 0, IF(C298= "tardy", SUM(J298/I298),"")))</f>
        <v/>
      </c>
      <c r="R298" s="62">
        <f>LEFT(Train_Log[[#This Row],[COURSE NAME:]],FIND(" - ", Train_Log[[#This Row],[COURSE NAME:]]) -1)</f>
        <v/>
      </c>
      <c r="S298" s="62">
        <f>MID(Train_Log[[#This Row],[COURSE NAME:]],FIND(" - ", Train_Log[[#This Row],[COURSE NAME:]]), 13)</f>
        <v/>
      </c>
      <c r="T298" s="62">
        <f>MID(E298, FIND(" - ", E298) + 3, LEN(E298)) &amp; "_" &amp; TEXT(F298, "yyyymmdd") &amp; "_" &amp; TEXT(H298, "yyyymmdd")</f>
        <v/>
      </c>
    </row>
    <row r="299">
      <c r="B299" s="38" t="inlineStr">
        <is>
          <t>EE106</t>
        </is>
      </c>
      <c r="C299" s="38" t="inlineStr">
        <is>
          <t>No</t>
        </is>
      </c>
      <c r="D299" t="inlineStr">
        <is>
          <t>5122986</t>
        </is>
      </c>
      <c r="E299" s="38" t="inlineStr">
        <is>
          <t>PHONES - BENEFITS</t>
        </is>
      </c>
      <c r="F299" s="40" t="n">
        <v>45316</v>
      </c>
      <c r="G299" s="40" t="n">
        <v>45318</v>
      </c>
      <c r="H299" s="40" t="n">
        <v>45318</v>
      </c>
      <c r="I299" s="41" t="n">
        <v>8</v>
      </c>
      <c r="J299" s="41" t="n">
        <v>8</v>
      </c>
      <c r="K299" s="38" t="inlineStr">
        <is>
          <t>TR 5</t>
        </is>
      </c>
      <c r="L299" s="38" t="inlineStr">
        <is>
          <t>TR 1</t>
        </is>
      </c>
      <c r="M299" s="38" t="inlineStr">
        <is>
          <t>--</t>
        </is>
      </c>
      <c r="N299" s="38" t="inlineStr">
        <is>
          <t>--</t>
        </is>
      </c>
      <c r="O299" s="38" t="inlineStr">
        <is>
          <t>JJH</t>
        </is>
      </c>
      <c r="Q299" s="62">
        <f>IF(C299="Yes", 1, IF(C299="no", 0, IF(C299= "tardy", SUM(J299/I299),"")))</f>
        <v/>
      </c>
      <c r="R299" s="62">
        <f>LEFT(Train_Log[[#This Row],[COURSE NAME:]],FIND(" - ", Train_Log[[#This Row],[COURSE NAME:]]) -1)</f>
        <v/>
      </c>
      <c r="S299" s="62">
        <f>MID(Train_Log[[#This Row],[COURSE NAME:]],FIND(" - ", Train_Log[[#This Row],[COURSE NAME:]]), 13)</f>
        <v/>
      </c>
      <c r="T299" s="62">
        <f>MID(E299, FIND(" - ", E299) + 3, LEN(E299)) &amp; "_" &amp; TEXT(F299, "yyyymmdd") &amp; "_" &amp; TEXT(H299, "yyyymmdd")</f>
        <v/>
      </c>
    </row>
    <row r="300">
      <c r="B300" s="38" t="inlineStr">
        <is>
          <t>EE129</t>
        </is>
      </c>
      <c r="C300" s="38" t="inlineStr">
        <is>
          <t>No</t>
        </is>
      </c>
      <c r="D300" t="inlineStr">
        <is>
          <t>4919897</t>
        </is>
      </c>
      <c r="E300" s="38" t="inlineStr">
        <is>
          <t>LWOP - HCES SU FACILITATION TRAINING</t>
        </is>
      </c>
      <c r="F300" s="40" t="n">
        <v>45482</v>
      </c>
      <c r="G300" s="40" t="n">
        <v>45482</v>
      </c>
      <c r="H300" s="40" t="n">
        <v>45482</v>
      </c>
      <c r="I300" s="41" t="n">
        <v>8</v>
      </c>
      <c r="J300" s="41" t="n">
        <v>8</v>
      </c>
      <c r="K300" s="38" t="inlineStr">
        <is>
          <t>TR 3</t>
        </is>
      </c>
      <c r="L300" s="38" t="inlineStr">
        <is>
          <t>TR 4</t>
        </is>
      </c>
      <c r="M300" s="38" t="inlineStr">
        <is>
          <t>--</t>
        </is>
      </c>
      <c r="N300" s="38" t="inlineStr">
        <is>
          <t>--</t>
        </is>
      </c>
      <c r="O300" s="38" t="inlineStr">
        <is>
          <t>JJH</t>
        </is>
      </c>
      <c r="P300" s="50" t="n"/>
      <c r="Q300" s="62">
        <f>IF(C300="Yes", 1, IF(C300="no", 0, IF(C300= "tardy", SUM(J300/I300),"")))</f>
        <v/>
      </c>
      <c r="R300" s="62">
        <f>LEFT(Train_Log[[#This Row],[COURSE NAME:]],FIND(" - ", Train_Log[[#This Row],[COURSE NAME:]]) -1)</f>
        <v/>
      </c>
      <c r="S300" s="62">
        <f>MID(Train_Log[[#This Row],[COURSE NAME:]],FIND(" - ", Train_Log[[#This Row],[COURSE NAME:]]), 13)</f>
        <v/>
      </c>
      <c r="T300" s="62">
        <f>MID(E300, FIND(" - ", E300) + 3, LEN(E300)) &amp; "_" &amp; TEXT(F300, "yyyymmdd") &amp; "_" &amp; TEXT(H300, "yyyymmdd")</f>
        <v/>
      </c>
    </row>
    <row r="301">
      <c r="B301" s="38" t="inlineStr">
        <is>
          <t>EE50</t>
        </is>
      </c>
      <c r="C301" s="38" t="inlineStr">
        <is>
          <t>No</t>
        </is>
      </c>
      <c r="D301" s="39" t="inlineStr">
        <is>
          <t>5926967</t>
        </is>
      </c>
      <c r="E301" s="38" t="inlineStr">
        <is>
          <t>RTR - EFORM SEPARATIONS TRAINING</t>
        </is>
      </c>
      <c r="F301" s="40" t="n">
        <v>45661</v>
      </c>
      <c r="G301" s="40" t="n">
        <v>45661</v>
      </c>
      <c r="H301" s="40" t="n">
        <v>45661</v>
      </c>
      <c r="I301" s="41" t="n">
        <v>2</v>
      </c>
      <c r="J301" s="41" t="n">
        <v>2</v>
      </c>
      <c r="K301" s="38" t="inlineStr">
        <is>
          <t>TR 6</t>
        </is>
      </c>
      <c r="L301" s="38" t="inlineStr">
        <is>
          <t>TR 7</t>
        </is>
      </c>
      <c r="M301" s="38" t="inlineStr">
        <is>
          <t>--</t>
        </is>
      </c>
      <c r="N301" s="38" t="inlineStr">
        <is>
          <t>--</t>
        </is>
      </c>
      <c r="O301" s="38" t="inlineStr">
        <is>
          <t>JJH</t>
        </is>
      </c>
      <c r="P301" s="44" t="n"/>
      <c r="Q301" s="62">
        <f>IF(C301="Yes", 1, IF(C301="no", 0, IF(C301= "tardy", SUM(J301/I301),"")))</f>
        <v/>
      </c>
      <c r="R301" s="62">
        <f>LEFT(Train_Log[[#This Row],[COURSE NAME:]],FIND(" - ", Train_Log[[#This Row],[COURSE NAME:]]) -1)</f>
        <v/>
      </c>
      <c r="S301" s="62">
        <f>MID(Train_Log[[#This Row],[COURSE NAME:]],FIND(" - ", Train_Log[[#This Row],[COURSE NAME:]]), 13)</f>
        <v/>
      </c>
      <c r="T301" s="62">
        <f>MID(E301, FIND(" - ", E301) + 3, LEN(E301)) &amp; "_" &amp; TEXT(F301, "yyyymmdd") &amp; "_" &amp; TEXT(H301, "yyyymmdd")</f>
        <v/>
      </c>
    </row>
    <row r="302">
      <c r="B302" s="38" t="inlineStr">
        <is>
          <t>EE118</t>
        </is>
      </c>
      <c r="C302" s="38" t="inlineStr">
        <is>
          <t>No</t>
        </is>
      </c>
      <c r="D302" s="46" t="inlineStr">
        <is>
          <t>5110987</t>
        </is>
      </c>
      <c r="E302" s="38" t="inlineStr">
        <is>
          <t>SUPPORT - TRAINING - PTSP TRAINING</t>
        </is>
      </c>
      <c r="F302" s="53" t="n">
        <v>45530</v>
      </c>
      <c r="G302" s="53" t="n">
        <v>45530</v>
      </c>
      <c r="H302" s="53" t="n">
        <v>45530</v>
      </c>
      <c r="I302" s="54" t="n">
        <v>2</v>
      </c>
      <c r="J302" s="54" t="n">
        <v>2</v>
      </c>
      <c r="K302" s="45" t="inlineStr">
        <is>
          <t>TR 1</t>
        </is>
      </c>
      <c r="L302" s="45" t="inlineStr">
        <is>
          <t>TR 2</t>
        </is>
      </c>
      <c r="M302" s="38" t="inlineStr">
        <is>
          <t>--</t>
        </is>
      </c>
      <c r="N302" s="38" t="inlineStr">
        <is>
          <t>--</t>
        </is>
      </c>
      <c r="O302" s="38" t="inlineStr">
        <is>
          <t>JJH</t>
        </is>
      </c>
      <c r="P302" s="53" t="n"/>
      <c r="Q302" s="61">
        <f>IF(C302="Yes", 1, IF(C302="no", 0, IF(C302= "tardy", SUM(J302/I302),"")))</f>
        <v/>
      </c>
      <c r="R302" s="61">
        <f>LEFT(Train_Log[[#This Row],[COURSE NAME:]],FIND(" - ", Train_Log[[#This Row],[COURSE NAME:]]) -1)</f>
        <v/>
      </c>
      <c r="S302" s="61">
        <f>MID(Train_Log[[#This Row],[COURSE NAME:]],FIND(" - ", Train_Log[[#This Row],[COURSE NAME:]]), 13)</f>
        <v/>
      </c>
      <c r="T302" s="61">
        <f>MID(E302, FIND(" - ", E302) + 3, LEN(E302)) &amp; "_" &amp; TEXT(F302, "yyyymmdd") &amp; "_" &amp; TEXT(H302, "yyyymmdd")</f>
        <v/>
      </c>
    </row>
    <row r="303">
      <c r="B303" s="38" t="inlineStr">
        <is>
          <t>EE104</t>
        </is>
      </c>
      <c r="C303" s="38" t="inlineStr">
        <is>
          <t>No</t>
        </is>
      </c>
      <c r="D303" t="inlineStr">
        <is>
          <t>5323105</t>
        </is>
      </c>
      <c r="E303" s="38" t="inlineStr">
        <is>
          <t>LWOP - HCES SU FACILITATION TRAINING</t>
        </is>
      </c>
      <c r="F303" s="40" t="n">
        <v>45685</v>
      </c>
      <c r="G303" s="40" t="n">
        <v>45687</v>
      </c>
      <c r="H303" s="40" t="n">
        <v>45687</v>
      </c>
      <c r="I303" s="41" t="n">
        <v>2</v>
      </c>
      <c r="J303" s="41" t="n">
        <v>2</v>
      </c>
      <c r="K303" s="38" t="inlineStr">
        <is>
          <t>TR 3</t>
        </is>
      </c>
      <c r="L303" s="38" t="inlineStr">
        <is>
          <t>TR 2</t>
        </is>
      </c>
      <c r="M303" s="38" t="inlineStr">
        <is>
          <t>--</t>
        </is>
      </c>
      <c r="N303" s="38" t="inlineStr">
        <is>
          <t>--</t>
        </is>
      </c>
      <c r="O303" s="38" t="inlineStr">
        <is>
          <t>JJH</t>
        </is>
      </c>
      <c r="Q303" s="62">
        <f>IF(C303="Yes", 1, IF(C303="no", 0, IF(C303= "tardy", SUM(J303/I303),"")))</f>
        <v/>
      </c>
      <c r="R303" s="62">
        <f>LEFT(Train_Log[[#This Row],[COURSE NAME:]],FIND(" - ", Train_Log[[#This Row],[COURSE NAME:]]) -1)</f>
        <v/>
      </c>
      <c r="S303" s="62">
        <f>MID(Train_Log[[#This Row],[COURSE NAME:]],FIND(" - ", Train_Log[[#This Row],[COURSE NAME:]]), 13)</f>
        <v/>
      </c>
      <c r="T303" s="62">
        <f>MID(E303, FIND(" - ", E303) + 3, LEN(E303)) &amp; "_" &amp; TEXT(F303, "yyyymmdd") &amp; "_" &amp; TEXT(H303, "yyyymmdd")</f>
        <v/>
      </c>
    </row>
    <row r="304">
      <c r="B304" s="38" t="inlineStr">
        <is>
          <t>EE128</t>
        </is>
      </c>
      <c r="C304" s="38" t="inlineStr">
        <is>
          <t>No</t>
        </is>
      </c>
      <c r="D304" t="inlineStr">
        <is>
          <t>5518323</t>
        </is>
      </c>
      <c r="E304" s="38" t="inlineStr">
        <is>
          <t>LWOP - HCES SU FACILITATION TRAINING</t>
        </is>
      </c>
      <c r="F304" s="40" t="n">
        <v>45638</v>
      </c>
      <c r="G304" s="40" t="n">
        <v>45640</v>
      </c>
      <c r="H304" s="40" t="n">
        <v>45640</v>
      </c>
      <c r="I304" s="41" t="n">
        <v>2</v>
      </c>
      <c r="J304" s="41" t="n">
        <v>2</v>
      </c>
      <c r="K304" s="38" t="inlineStr">
        <is>
          <t>TR 9</t>
        </is>
      </c>
      <c r="L304" s="38" t="inlineStr">
        <is>
          <t>TR 1</t>
        </is>
      </c>
      <c r="M304" s="38" t="inlineStr">
        <is>
          <t>--</t>
        </is>
      </c>
      <c r="N304" s="38" t="inlineStr">
        <is>
          <t>--</t>
        </is>
      </c>
      <c r="O304" s="38" t="inlineStr">
        <is>
          <t>JJH</t>
        </is>
      </c>
      <c r="P304" s="59" t="n"/>
      <c r="Q304" s="62">
        <f>IF(C304="Yes", 1, IF(C304="no", 0, IF(C304= "tardy", SUM(J304/I304),"")))</f>
        <v/>
      </c>
      <c r="R304" s="62">
        <f>LEFT(Train_Log[[#This Row],[COURSE NAME:]],FIND(" - ", Train_Log[[#This Row],[COURSE NAME:]]) -1)</f>
        <v/>
      </c>
      <c r="S304" s="62">
        <f>MID(Train_Log[[#This Row],[COURSE NAME:]],FIND(" - ", Train_Log[[#This Row],[COURSE NAME:]]), 13)</f>
        <v/>
      </c>
      <c r="T304" s="62">
        <f>MID(E304, FIND(" - ", E304) + 3, LEN(E304)) &amp; "_" &amp; TEXT(F304, "yyyymmdd") &amp; "_" &amp; TEXT(H304, "yyyymmdd")</f>
        <v/>
      </c>
    </row>
    <row r="305">
      <c r="B305" s="38" t="inlineStr">
        <is>
          <t>EE59</t>
        </is>
      </c>
      <c r="C305" s="38" t="inlineStr">
        <is>
          <t>tardy</t>
        </is>
      </c>
      <c r="D305" t="inlineStr">
        <is>
          <t>5516807</t>
        </is>
      </c>
      <c r="E305" s="38" t="inlineStr">
        <is>
          <t>SUPPORT - TRAINING - PTSP TRAINING</t>
        </is>
      </c>
      <c r="F305" s="40" t="n">
        <v>45785</v>
      </c>
      <c r="G305" s="40" t="n">
        <v>45785</v>
      </c>
      <c r="H305" s="40" t="n">
        <v>45785</v>
      </c>
      <c r="I305" s="41" t="n">
        <v>2</v>
      </c>
      <c r="J305" s="41" t="n">
        <v>1.55</v>
      </c>
      <c r="K305" s="38" t="inlineStr">
        <is>
          <t>TR 5</t>
        </is>
      </c>
      <c r="L305" s="38" t="inlineStr">
        <is>
          <t>TR 9</t>
        </is>
      </c>
      <c r="M305" s="38" t="inlineStr">
        <is>
          <t>--</t>
        </is>
      </c>
      <c r="N305" s="38" t="inlineStr">
        <is>
          <t>--</t>
        </is>
      </c>
      <c r="O305" s="38" t="inlineStr">
        <is>
          <t>JJH</t>
        </is>
      </c>
      <c r="P305" s="59" t="n"/>
      <c r="Q305" s="62">
        <f>IF(C305="Yes", 1, IF(C305="no", 0, IF(C305= "tardy", SUM(J305/I305),"")))</f>
        <v/>
      </c>
      <c r="R305" s="62">
        <f>LEFT(Train_Log[[#This Row],[COURSE NAME:]],FIND(" - ", Train_Log[[#This Row],[COURSE NAME:]]) -1)</f>
        <v/>
      </c>
      <c r="S305" s="62">
        <f>MID(Train_Log[[#This Row],[COURSE NAME:]],FIND(" - ", Train_Log[[#This Row],[COURSE NAME:]]), 13)</f>
        <v/>
      </c>
      <c r="T305" s="62">
        <f>MID(E305, FIND(" - ", E305) + 3, LEN(E305)) &amp; "_" &amp; TEXT(F305, "yyyymmdd") &amp; "_" &amp; TEXT(H305, "yyyymmdd")</f>
        <v/>
      </c>
    </row>
    <row r="306">
      <c r="B306" s="38" t="inlineStr">
        <is>
          <t>EE145</t>
        </is>
      </c>
      <c r="C306" s="38" t="inlineStr">
        <is>
          <t>Yes</t>
        </is>
      </c>
      <c r="D306" t="inlineStr">
        <is>
          <t>6499337</t>
        </is>
      </c>
      <c r="E306" s="38" t="inlineStr">
        <is>
          <t>PHONES - BENEFITS</t>
        </is>
      </c>
      <c r="F306" s="40" t="n">
        <v>45482</v>
      </c>
      <c r="G306" s="40" t="n">
        <v>45482</v>
      </c>
      <c r="H306" s="40" t="n">
        <v>45482</v>
      </c>
      <c r="I306" s="41" t="n">
        <v>2</v>
      </c>
      <c r="J306" s="41" t="n">
        <v>0</v>
      </c>
      <c r="K306" s="38" t="inlineStr">
        <is>
          <t>TR 10</t>
        </is>
      </c>
      <c r="L306" s="38" t="inlineStr">
        <is>
          <t>TR 3</t>
        </is>
      </c>
      <c r="M306" s="38" t="inlineStr">
        <is>
          <t>--</t>
        </is>
      </c>
      <c r="N306" s="38" t="inlineStr">
        <is>
          <t>--</t>
        </is>
      </c>
      <c r="O306" s="38" t="inlineStr">
        <is>
          <t>JJH</t>
        </is>
      </c>
      <c r="P306" s="59" t="n"/>
      <c r="Q306" s="62">
        <f>IF(C306="Yes", 1, IF(C306="no", 0, IF(C306= "tardy", SUM(J306/I306),"")))</f>
        <v/>
      </c>
      <c r="R306" s="62">
        <f>LEFT(Train_Log[[#This Row],[COURSE NAME:]],FIND(" - ", Train_Log[[#This Row],[COURSE NAME:]]) -1)</f>
        <v/>
      </c>
      <c r="S306" s="62">
        <f>MID(Train_Log[[#This Row],[COURSE NAME:]],FIND(" - ", Train_Log[[#This Row],[COURSE NAME:]]), 13)</f>
        <v/>
      </c>
      <c r="T306" s="62">
        <f>MID(E306, FIND(" - ", E306) + 3, LEN(E306)) &amp; "_" &amp; TEXT(F306, "yyyymmdd") &amp; "_" &amp; TEXT(H306, "yyyymmdd")</f>
        <v/>
      </c>
    </row>
    <row r="307">
      <c r="B307" s="38" t="inlineStr">
        <is>
          <t>EE183</t>
        </is>
      </c>
      <c r="C307" s="38" t="inlineStr">
        <is>
          <t>No</t>
        </is>
      </c>
      <c r="D307" t="inlineStr">
        <is>
          <t>6049360</t>
        </is>
      </c>
      <c r="E307" s="38" t="inlineStr">
        <is>
          <t>LWOP - HCES SU FACILITATION TRAINING</t>
        </is>
      </c>
      <c r="F307" s="40" t="n">
        <v>45377</v>
      </c>
      <c r="G307" s="40" t="n">
        <v>45377</v>
      </c>
      <c r="H307" s="40" t="n">
        <v>45377</v>
      </c>
      <c r="I307" s="41" t="n">
        <v>2</v>
      </c>
      <c r="J307" s="41" t="n">
        <v>2</v>
      </c>
      <c r="K307" s="38" t="inlineStr">
        <is>
          <t>TR 10</t>
        </is>
      </c>
      <c r="L307" s="38" t="inlineStr">
        <is>
          <t>TR 7</t>
        </is>
      </c>
      <c r="M307" s="38" t="inlineStr">
        <is>
          <t>--</t>
        </is>
      </c>
      <c r="N307" s="38" t="inlineStr">
        <is>
          <t>--</t>
        </is>
      </c>
      <c r="O307" s="38" t="inlineStr">
        <is>
          <t>JJH</t>
        </is>
      </c>
      <c r="P307" s="59" t="n"/>
      <c r="Q307" s="62">
        <f>IF(C307="Yes", 1, IF(C307="no", 0, IF(C307= "tardy", SUM(J307/I307),"")))</f>
        <v/>
      </c>
      <c r="R307" s="62">
        <f>LEFT(Train_Log[[#This Row],[COURSE NAME:]],FIND(" - ", Train_Log[[#This Row],[COURSE NAME:]]) -1)</f>
        <v/>
      </c>
      <c r="S307" s="62">
        <f>MID(Train_Log[[#This Row],[COURSE NAME:]],FIND(" - ", Train_Log[[#This Row],[COURSE NAME:]]), 13)</f>
        <v/>
      </c>
      <c r="T307" s="62">
        <f>MID(E307, FIND(" - ", E307) + 3, LEN(E307)) &amp; "_" &amp; TEXT(F307, "yyyymmdd") &amp; "_" &amp; TEXT(H307, "yyyymmdd")</f>
        <v/>
      </c>
    </row>
    <row r="308">
      <c r="B308" s="38" t="inlineStr">
        <is>
          <t>EE174</t>
        </is>
      </c>
      <c r="C308" s="38" t="inlineStr">
        <is>
          <t>No</t>
        </is>
      </c>
      <c r="D308" t="inlineStr">
        <is>
          <t>4834293</t>
        </is>
      </c>
      <c r="E308" s="38" t="inlineStr">
        <is>
          <t>LWOP - HCES SUPERUSER TRAINING</t>
        </is>
      </c>
      <c r="F308" s="40" t="n">
        <v>45692</v>
      </c>
      <c r="G308" s="40" t="n">
        <v>45696</v>
      </c>
      <c r="H308" s="40" t="n">
        <v>45696</v>
      </c>
      <c r="I308" s="41" t="n">
        <v>2</v>
      </c>
      <c r="J308" s="41" t="n">
        <v>2</v>
      </c>
      <c r="K308" s="38" t="inlineStr">
        <is>
          <t>TR 9</t>
        </is>
      </c>
      <c r="L308" s="38" t="inlineStr">
        <is>
          <t>TR 6</t>
        </is>
      </c>
      <c r="M308" s="38" t="inlineStr">
        <is>
          <t>--</t>
        </is>
      </c>
      <c r="N308" s="38" t="inlineStr">
        <is>
          <t>--</t>
        </is>
      </c>
      <c r="O308" s="38" t="inlineStr">
        <is>
          <t>JJH</t>
        </is>
      </c>
      <c r="Q308" s="62">
        <f>IF(C308="Yes", 1, IF(C308="no", 0, IF(C308= "tardy", SUM(J308/I308),"")))</f>
        <v/>
      </c>
      <c r="R308" s="62">
        <f>LEFT(Train_Log[[#This Row],[COURSE NAME:]],FIND(" - ", Train_Log[[#This Row],[COURSE NAME:]]) -1)</f>
        <v/>
      </c>
      <c r="S308" s="62">
        <f>MID(Train_Log[[#This Row],[COURSE NAME:]],FIND(" - ", Train_Log[[#This Row],[COURSE NAME:]]), 13)</f>
        <v/>
      </c>
      <c r="T308" s="62">
        <f>MID(E308, FIND(" - ", E308) + 3, LEN(E308)) &amp; "_" &amp; TEXT(F308, "yyyymmdd") &amp; "_" &amp; TEXT(H308, "yyyymmdd")</f>
        <v/>
      </c>
    </row>
    <row r="309">
      <c r="B309" s="38" t="inlineStr">
        <is>
          <t>EE14</t>
        </is>
      </c>
      <c r="C309" s="38" t="inlineStr">
        <is>
          <t>No</t>
        </is>
      </c>
      <c r="D309" s="39" t="inlineStr">
        <is>
          <t>4133306</t>
        </is>
      </c>
      <c r="E309" s="38" t="inlineStr">
        <is>
          <t>PHONES - EMPLOYMENT VERIFICATION</t>
        </is>
      </c>
      <c r="F309" s="44" t="n">
        <v>45746</v>
      </c>
      <c r="G309" s="40" t="n">
        <v>45746</v>
      </c>
      <c r="H309" s="44" t="n">
        <v>45746</v>
      </c>
      <c r="I309" s="41" t="n">
        <v>3</v>
      </c>
      <c r="J309" s="42" t="n">
        <v>3</v>
      </c>
      <c r="K309" s="38" t="inlineStr">
        <is>
          <t>TR 10</t>
        </is>
      </c>
      <c r="L309" s="38" t="inlineStr">
        <is>
          <t>TR 10</t>
        </is>
      </c>
      <c r="M309" s="38" t="inlineStr">
        <is>
          <t>--</t>
        </is>
      </c>
      <c r="N309" s="38" t="inlineStr">
        <is>
          <t>--</t>
        </is>
      </c>
      <c r="O309" s="38" t="inlineStr">
        <is>
          <t>JJH</t>
        </is>
      </c>
      <c r="Q309" s="62">
        <f>IF(C309="Yes", 1, IF(C309="no", 0, IF(C309= "tardy", SUM(J309/I309),"")))</f>
        <v/>
      </c>
      <c r="R309" s="62">
        <f>LEFT(Train_Log[[#This Row],[COURSE NAME:]],FIND(" - ", Train_Log[[#This Row],[COURSE NAME:]]) -1)</f>
        <v/>
      </c>
      <c r="S309" s="62">
        <f>MID(Train_Log[[#This Row],[COURSE NAME:]],FIND(" - ", Train_Log[[#This Row],[COURSE NAME:]]), 13)</f>
        <v/>
      </c>
      <c r="T309" s="62">
        <f>MID(E309, FIND(" - ", E309) + 3, LEN(E309)) &amp; "_" &amp; TEXT(F309, "yyyymmdd") &amp; "_" &amp; TEXT(H309, "yyyymmdd")</f>
        <v/>
      </c>
    </row>
    <row r="310">
      <c r="B310" s="38" t="inlineStr">
        <is>
          <t>EE153</t>
        </is>
      </c>
      <c r="C310" s="38" t="inlineStr">
        <is>
          <t>No</t>
        </is>
      </c>
      <c r="D310" s="39" t="inlineStr">
        <is>
          <t>6859300</t>
        </is>
      </c>
      <c r="E310" s="38" t="inlineStr">
        <is>
          <t>LWOP - HCES SU FACILITATION TRAINING</t>
        </is>
      </c>
      <c r="F310" s="44" t="n">
        <v>45633</v>
      </c>
      <c r="G310" s="40" t="n">
        <v>45633</v>
      </c>
      <c r="H310" s="44" t="n">
        <v>45633</v>
      </c>
      <c r="I310" s="41" t="n">
        <v>4</v>
      </c>
      <c r="J310" s="42" t="n">
        <v>4</v>
      </c>
      <c r="K310" s="38" t="inlineStr">
        <is>
          <t>TR 8</t>
        </is>
      </c>
      <c r="L310" s="38" t="inlineStr">
        <is>
          <t>TR 4</t>
        </is>
      </c>
      <c r="M310" s="38" t="inlineStr">
        <is>
          <t>--</t>
        </is>
      </c>
      <c r="N310" s="38" t="inlineStr">
        <is>
          <t>--</t>
        </is>
      </c>
      <c r="O310" s="38" t="inlineStr">
        <is>
          <t>JJH</t>
        </is>
      </c>
      <c r="Q310" s="62">
        <f>IF(C310="Yes", 1, IF(C310="no", 0, IF(C310= "tardy", SUM(J310/I310),"")))</f>
        <v/>
      </c>
      <c r="R310" s="62">
        <f>LEFT(Train_Log[[#This Row],[COURSE NAME:]],FIND(" - ", Train_Log[[#This Row],[COURSE NAME:]]) -1)</f>
        <v/>
      </c>
      <c r="S310" s="62">
        <f>MID(Train_Log[[#This Row],[COURSE NAME:]],FIND(" - ", Train_Log[[#This Row],[COURSE NAME:]]), 13)</f>
        <v/>
      </c>
      <c r="T310" s="62">
        <f>MID(E310, FIND(" - ", E310) + 3, LEN(E310)) &amp; "_" &amp; TEXT(F310, "yyyymmdd") &amp; "_" &amp; TEXT(H310, "yyyymmdd")</f>
        <v/>
      </c>
    </row>
    <row r="311">
      <c r="B311" s="38" t="inlineStr">
        <is>
          <t>EE92</t>
        </is>
      </c>
      <c r="C311" s="38" t="inlineStr">
        <is>
          <t>No</t>
        </is>
      </c>
      <c r="D311" s="39" t="inlineStr">
        <is>
          <t>5938859</t>
        </is>
      </c>
      <c r="E311" s="38" t="inlineStr">
        <is>
          <t>LWOP - HCES SU FACILITATION TRAINING</t>
        </is>
      </c>
      <c r="F311" s="44" t="n">
        <v>45741</v>
      </c>
      <c r="G311" s="40" t="n">
        <v>45741</v>
      </c>
      <c r="H311" s="44" t="n">
        <v>45741</v>
      </c>
      <c r="I311" s="41" t="n">
        <v>4</v>
      </c>
      <c r="J311" s="42" t="n">
        <v>4</v>
      </c>
      <c r="K311" s="38" t="inlineStr">
        <is>
          <t>TR 2</t>
        </is>
      </c>
      <c r="L311" s="38" t="inlineStr">
        <is>
          <t>TR 10</t>
        </is>
      </c>
      <c r="M311" s="38" t="inlineStr">
        <is>
          <t>--</t>
        </is>
      </c>
      <c r="N311" s="38" t="inlineStr">
        <is>
          <t>--</t>
        </is>
      </c>
      <c r="O311" s="38" t="inlineStr">
        <is>
          <t>JJH</t>
        </is>
      </c>
      <c r="Q311" s="62">
        <f>IF(C311="Yes", 1, IF(C311="no", 0, IF(C311= "tardy", SUM(J311/I311),"")))</f>
        <v/>
      </c>
      <c r="R311" s="62">
        <f>LEFT(Train_Log[[#This Row],[COURSE NAME:]],FIND(" - ", Train_Log[[#This Row],[COURSE NAME:]]) -1)</f>
        <v/>
      </c>
      <c r="S311" s="62">
        <f>MID(Train_Log[[#This Row],[COURSE NAME:]],FIND(" - ", Train_Log[[#This Row],[COURSE NAME:]]), 13)</f>
        <v/>
      </c>
      <c r="T311" s="62">
        <f>MID(E311, FIND(" - ", E311) + 3, LEN(E311)) &amp; "_" &amp; TEXT(F311, "yyyymmdd") &amp; "_" &amp; TEXT(H311, "yyyymmdd")</f>
        <v/>
      </c>
    </row>
    <row r="312">
      <c r="B312" s="38" t="inlineStr">
        <is>
          <t>EE76</t>
        </is>
      </c>
      <c r="C312" s="38" t="inlineStr">
        <is>
          <t>No</t>
        </is>
      </c>
      <c r="D312" s="39" t="inlineStr">
        <is>
          <t>4682220</t>
        </is>
      </c>
      <c r="E312" s="38" t="inlineStr">
        <is>
          <t>SUPPORT - TRAINING - PTSP TRAINING</t>
        </is>
      </c>
      <c r="F312" s="44" t="n">
        <v>45374</v>
      </c>
      <c r="G312" s="40" t="n">
        <v>45374</v>
      </c>
      <c r="H312" s="44" t="n">
        <v>45374</v>
      </c>
      <c r="I312" s="41" t="n">
        <v>4</v>
      </c>
      <c r="J312" s="42" t="n">
        <v>4</v>
      </c>
      <c r="K312" s="38" t="inlineStr">
        <is>
          <t>TR 3</t>
        </is>
      </c>
      <c r="L312" s="38" t="inlineStr">
        <is>
          <t>TR 7</t>
        </is>
      </c>
      <c r="M312" s="38" t="inlineStr">
        <is>
          <t>--</t>
        </is>
      </c>
      <c r="N312" s="38" t="inlineStr">
        <is>
          <t>--</t>
        </is>
      </c>
      <c r="O312" s="38" t="inlineStr">
        <is>
          <t>JJH</t>
        </is>
      </c>
      <c r="Q312" s="62">
        <f>IF(C312="Yes", 1, IF(C312="no", 0, IF(C312= "tardy", SUM(J312/I312),"")))</f>
        <v/>
      </c>
      <c r="R312" s="62">
        <f>LEFT(Train_Log[[#This Row],[COURSE NAME:]],FIND(" - ", Train_Log[[#This Row],[COURSE NAME:]]) -1)</f>
        <v/>
      </c>
      <c r="S312" s="62">
        <f>MID(Train_Log[[#This Row],[COURSE NAME:]],FIND(" - ", Train_Log[[#This Row],[COURSE NAME:]]), 13)</f>
        <v/>
      </c>
      <c r="T312" s="62">
        <f>MID(E312, FIND(" - ", E312) + 3, LEN(E312)) &amp; "_" &amp; TEXT(F312, "yyyymmdd") &amp; "_" &amp; TEXT(H312, "yyyymmdd")</f>
        <v/>
      </c>
    </row>
    <row r="313">
      <c r="B313" s="38" t="inlineStr">
        <is>
          <t>EE82</t>
        </is>
      </c>
      <c r="C313" s="38" t="inlineStr">
        <is>
          <t>Yes</t>
        </is>
      </c>
      <c r="D313" s="39" t="inlineStr">
        <is>
          <t>6943647</t>
        </is>
      </c>
      <c r="E313" s="38" t="inlineStr">
        <is>
          <t>LWOP - HCES SUPERUSER TRAINING</t>
        </is>
      </c>
      <c r="F313" s="44" t="n">
        <v>45408</v>
      </c>
      <c r="G313" s="40" t="n">
        <v>45408</v>
      </c>
      <c r="H313" s="44" t="n">
        <v>45408</v>
      </c>
      <c r="I313" s="41" t="n">
        <v>3</v>
      </c>
      <c r="J313" s="42" t="n">
        <v>0</v>
      </c>
      <c r="K313" s="38" t="inlineStr">
        <is>
          <t>TR 8</t>
        </is>
      </c>
      <c r="L313" s="38" t="inlineStr">
        <is>
          <t>TR 6</t>
        </is>
      </c>
      <c r="M313" s="38" t="inlineStr">
        <is>
          <t>--</t>
        </is>
      </c>
      <c r="N313" s="38" t="inlineStr">
        <is>
          <t>--</t>
        </is>
      </c>
      <c r="O313" s="38" t="inlineStr">
        <is>
          <t>JJH</t>
        </is>
      </c>
      <c r="Q313" s="62">
        <f>IF(C313="Yes", 1, IF(C313="no", 0, IF(C313= "tardy", SUM(J313/I313),"")))</f>
        <v/>
      </c>
      <c r="R313" s="62">
        <f>LEFT(Train_Log[[#This Row],[COURSE NAME:]],FIND(" - ", Train_Log[[#This Row],[COURSE NAME:]]) -1)</f>
        <v/>
      </c>
      <c r="S313" s="62">
        <f>MID(Train_Log[[#This Row],[COURSE NAME:]],FIND(" - ", Train_Log[[#This Row],[COURSE NAME:]]), 13)</f>
        <v/>
      </c>
      <c r="T313" s="62">
        <f>MID(E313, FIND(" - ", E313) + 3, LEN(E313)) &amp; "_" &amp; TEXT(F313, "yyyymmdd") &amp; "_" &amp; TEXT(H313, "yyyymmdd")</f>
        <v/>
      </c>
    </row>
    <row r="314">
      <c r="B314" s="38" t="inlineStr">
        <is>
          <t>EE70</t>
        </is>
      </c>
      <c r="C314" s="38" t="inlineStr">
        <is>
          <t>No</t>
        </is>
      </c>
      <c r="D314" s="39" t="inlineStr">
        <is>
          <t>4423630</t>
        </is>
      </c>
      <c r="E314" s="38" t="inlineStr">
        <is>
          <t>PHONES - EMPLOYMENT VERIFICATION</t>
        </is>
      </c>
      <c r="F314" s="44" t="n">
        <v>45434</v>
      </c>
      <c r="G314" s="40" t="n">
        <v>45434</v>
      </c>
      <c r="H314" s="44" t="n">
        <v>45434</v>
      </c>
      <c r="I314" s="41" t="n">
        <v>4</v>
      </c>
      <c r="J314" s="42" t="n">
        <v>4</v>
      </c>
      <c r="K314" s="38" t="inlineStr">
        <is>
          <t>TR 9</t>
        </is>
      </c>
      <c r="L314" s="38" t="inlineStr">
        <is>
          <t>TR 9</t>
        </is>
      </c>
      <c r="M314" s="38" t="inlineStr">
        <is>
          <t>--</t>
        </is>
      </c>
      <c r="N314" s="38" t="inlineStr">
        <is>
          <t>--</t>
        </is>
      </c>
      <c r="O314" s="38" t="inlineStr">
        <is>
          <t>JJH</t>
        </is>
      </c>
      <c r="Q314" s="62">
        <f>IF(C314="Yes", 1, IF(C314="no", 0, IF(C314= "tardy", SUM(J314/I314),"")))</f>
        <v/>
      </c>
      <c r="R314" s="62">
        <f>LEFT(Train_Log[[#This Row],[COURSE NAME:]],FIND(" - ", Train_Log[[#This Row],[COURSE NAME:]]) -1)</f>
        <v/>
      </c>
      <c r="S314" s="62">
        <f>MID(Train_Log[[#This Row],[COURSE NAME:]],FIND(" - ", Train_Log[[#This Row],[COURSE NAME:]]), 13)</f>
        <v/>
      </c>
      <c r="T314" s="62">
        <f>MID(E314, FIND(" - ", E314) + 3, LEN(E314)) &amp; "_" &amp; TEXT(F314, "yyyymmdd") &amp; "_" &amp; TEXT(H314, "yyyymmdd")</f>
        <v/>
      </c>
    </row>
    <row r="315">
      <c r="B315" s="38" t="inlineStr">
        <is>
          <t>EE132</t>
        </is>
      </c>
      <c r="C315" s="38" t="inlineStr">
        <is>
          <t>No</t>
        </is>
      </c>
      <c r="D315" s="39" t="inlineStr">
        <is>
          <t>6069955</t>
        </is>
      </c>
      <c r="E315" s="38" t="inlineStr">
        <is>
          <t>LWOP - HCES SU FACILITATION TRAINING</t>
        </is>
      </c>
      <c r="F315" s="44" t="n">
        <v>45404</v>
      </c>
      <c r="G315" s="40" t="n">
        <v>45404</v>
      </c>
      <c r="H315" s="44" t="n">
        <v>45404</v>
      </c>
      <c r="I315" s="41" t="n">
        <v>8</v>
      </c>
      <c r="J315" s="42" t="n">
        <v>8</v>
      </c>
      <c r="K315" s="38" t="inlineStr">
        <is>
          <t>TR 2</t>
        </is>
      </c>
      <c r="L315" s="38" t="inlineStr">
        <is>
          <t>TR 10</t>
        </is>
      </c>
      <c r="M315" s="38" t="inlineStr">
        <is>
          <t>--</t>
        </is>
      </c>
      <c r="N315" s="38" t="inlineStr">
        <is>
          <t>--</t>
        </is>
      </c>
      <c r="O315" s="38" t="inlineStr">
        <is>
          <t>JJH</t>
        </is>
      </c>
      <c r="Q315" s="62">
        <f>IF(C315="Yes", 1, IF(C315="no", 0, IF(C315= "tardy", SUM(J315/I315),"")))</f>
        <v/>
      </c>
      <c r="R315" s="62">
        <f>LEFT(Train_Log[[#This Row],[COURSE NAME:]],FIND(" - ", Train_Log[[#This Row],[COURSE NAME:]]) -1)</f>
        <v/>
      </c>
      <c r="S315" s="62">
        <f>MID(Train_Log[[#This Row],[COURSE NAME:]],FIND(" - ", Train_Log[[#This Row],[COURSE NAME:]]), 13)</f>
        <v/>
      </c>
      <c r="T315" s="62">
        <f>MID(E315, FIND(" - ", E315) + 3, LEN(E315)) &amp; "_" &amp; TEXT(F315, "yyyymmdd") &amp; "_" &amp; TEXT(H315, "yyyymmdd")</f>
        <v/>
      </c>
    </row>
    <row r="316">
      <c r="B316" s="38" t="inlineStr">
        <is>
          <t>EE154</t>
        </is>
      </c>
      <c r="C316" s="38" t="inlineStr">
        <is>
          <t>No</t>
        </is>
      </c>
      <c r="D316" s="39" t="inlineStr">
        <is>
          <t>6252216</t>
        </is>
      </c>
      <c r="E316" s="38" t="inlineStr">
        <is>
          <t>LWOP - HCES SUPERUSER TRAINING</t>
        </is>
      </c>
      <c r="F316" s="44" t="n">
        <v>45693</v>
      </c>
      <c r="G316" s="40" t="n">
        <v>45693</v>
      </c>
      <c r="H316" s="44" t="n">
        <v>45693</v>
      </c>
      <c r="I316" s="41" t="n">
        <v>4</v>
      </c>
      <c r="J316" s="42" t="n">
        <v>4</v>
      </c>
      <c r="K316" s="38" t="inlineStr">
        <is>
          <t>TR 2</t>
        </is>
      </c>
      <c r="L316" s="38" t="inlineStr">
        <is>
          <t>TR 9</t>
        </is>
      </c>
      <c r="M316" s="38" t="inlineStr">
        <is>
          <t>--</t>
        </is>
      </c>
      <c r="N316" s="38" t="inlineStr">
        <is>
          <t>--</t>
        </is>
      </c>
      <c r="O316" s="38" t="inlineStr">
        <is>
          <t>JJH</t>
        </is>
      </c>
      <c r="Q316" s="62">
        <f>IF(C316="Yes", 1, IF(C316="no", 0, IF(C316= "tardy", SUM(J316/I316),"")))</f>
        <v/>
      </c>
      <c r="R316" s="62">
        <f>LEFT(Train_Log[[#This Row],[COURSE NAME:]],FIND(" - ", Train_Log[[#This Row],[COURSE NAME:]]) -1)</f>
        <v/>
      </c>
      <c r="S316" s="62">
        <f>MID(Train_Log[[#This Row],[COURSE NAME:]],FIND(" - ", Train_Log[[#This Row],[COURSE NAME:]]), 13)</f>
        <v/>
      </c>
      <c r="T316" s="62">
        <f>MID(E316, FIND(" - ", E316) + 3, LEN(E316)) &amp; "_" &amp; TEXT(F316, "yyyymmdd") &amp; "_" &amp; TEXT(H316, "yyyymmdd")</f>
        <v/>
      </c>
    </row>
    <row r="317">
      <c r="B317" s="38" t="inlineStr">
        <is>
          <t>EE63</t>
        </is>
      </c>
      <c r="C317" s="38" t="inlineStr">
        <is>
          <t>No</t>
        </is>
      </c>
      <c r="D317" s="39" t="inlineStr">
        <is>
          <t>4291735</t>
        </is>
      </c>
      <c r="E317" s="38" t="inlineStr">
        <is>
          <t>PHONES - LWOP</t>
        </is>
      </c>
      <c r="F317" s="44" t="n">
        <v>45688</v>
      </c>
      <c r="G317" s="40" t="n">
        <v>45688</v>
      </c>
      <c r="H317" s="44" t="n">
        <v>45688</v>
      </c>
      <c r="I317" s="41" t="n">
        <v>3</v>
      </c>
      <c r="J317" s="42" t="n">
        <v>3</v>
      </c>
      <c r="K317" s="38" t="inlineStr">
        <is>
          <t>TR 5</t>
        </is>
      </c>
      <c r="L317" s="38" t="inlineStr">
        <is>
          <t>TR 8</t>
        </is>
      </c>
      <c r="M317" s="38" t="inlineStr">
        <is>
          <t>--</t>
        </is>
      </c>
      <c r="N317" s="38" t="inlineStr">
        <is>
          <t>--</t>
        </is>
      </c>
      <c r="O317" s="38" t="inlineStr">
        <is>
          <t>JJH</t>
        </is>
      </c>
      <c r="Q317" s="62">
        <f>IF(C317="Yes", 1, IF(C317="no", 0, IF(C317= "tardy", SUM(J317/I317),"")))</f>
        <v/>
      </c>
      <c r="R317" s="62">
        <f>LEFT(Train_Log[[#This Row],[COURSE NAME:]],FIND(" - ", Train_Log[[#This Row],[COURSE NAME:]]) -1)</f>
        <v/>
      </c>
      <c r="S317" s="62">
        <f>MID(Train_Log[[#This Row],[COURSE NAME:]],FIND(" - ", Train_Log[[#This Row],[COURSE NAME:]]), 13)</f>
        <v/>
      </c>
      <c r="T317" s="62">
        <f>MID(E317, FIND(" - ", E317) + 3, LEN(E317)) &amp; "_" &amp; TEXT(F317, "yyyymmdd") &amp; "_" &amp; TEXT(H317, "yyyymmdd")</f>
        <v/>
      </c>
    </row>
    <row r="318">
      <c r="B318" s="38" t="inlineStr">
        <is>
          <t>EE38</t>
        </is>
      </c>
      <c r="C318" s="38" t="inlineStr">
        <is>
          <t>No</t>
        </is>
      </c>
      <c r="D318" s="39" t="inlineStr">
        <is>
          <t>4652128</t>
        </is>
      </c>
      <c r="E318" s="38" t="inlineStr">
        <is>
          <t>PHONES - EMPLOYMENT VERIFICATION</t>
        </is>
      </c>
      <c r="F318" s="44" t="n">
        <v>45470</v>
      </c>
      <c r="G318" s="40" t="n">
        <v>45471</v>
      </c>
      <c r="H318" s="44" t="n">
        <v>45471</v>
      </c>
      <c r="I318" s="41" t="n">
        <v>3</v>
      </c>
      <c r="J318" s="42" t="n">
        <v>3</v>
      </c>
      <c r="K318" s="38" t="inlineStr">
        <is>
          <t>TR 8</t>
        </is>
      </c>
      <c r="L318" s="38" t="inlineStr">
        <is>
          <t>TR 2</t>
        </is>
      </c>
      <c r="M318" s="38" t="inlineStr">
        <is>
          <t>--</t>
        </is>
      </c>
      <c r="N318" s="38" t="inlineStr">
        <is>
          <t>--</t>
        </is>
      </c>
      <c r="O318" s="38" t="inlineStr">
        <is>
          <t>JJH</t>
        </is>
      </c>
      <c r="Q318" s="62">
        <f>IF(C318="Yes", 1, IF(C318="no", 0, IF(C318= "tardy", SUM(J318/I318),"")))</f>
        <v/>
      </c>
      <c r="R318" s="62">
        <f>LEFT(Train_Log[[#This Row],[COURSE NAME:]],FIND(" - ", Train_Log[[#This Row],[COURSE NAME:]]) -1)</f>
        <v/>
      </c>
      <c r="S318" s="62">
        <f>MID(Train_Log[[#This Row],[COURSE NAME:]],FIND(" - ", Train_Log[[#This Row],[COURSE NAME:]]), 13)</f>
        <v/>
      </c>
      <c r="T318" s="62">
        <f>MID(E318, FIND(" - ", E318) + 3, LEN(E318)) &amp; "_" &amp; TEXT(F318, "yyyymmdd") &amp; "_" &amp; TEXT(H318, "yyyymmdd")</f>
        <v/>
      </c>
    </row>
    <row r="319">
      <c r="B319" s="38" t="inlineStr">
        <is>
          <t>EE93</t>
        </is>
      </c>
      <c r="C319" s="38" t="inlineStr">
        <is>
          <t>No</t>
        </is>
      </c>
      <c r="D319" s="39" t="inlineStr">
        <is>
          <t>5591551</t>
        </is>
      </c>
      <c r="E319" s="38" t="inlineStr">
        <is>
          <t>RTR - EFORM SEPARATIONS TRAINING</t>
        </is>
      </c>
      <c r="F319" s="44" t="n">
        <v>45551</v>
      </c>
      <c r="G319" s="40" t="n">
        <v>45555</v>
      </c>
      <c r="H319" s="44" t="n">
        <v>45555</v>
      </c>
      <c r="I319" s="41" t="n">
        <v>8</v>
      </c>
      <c r="J319" s="42" t="n">
        <v>8</v>
      </c>
      <c r="K319" s="38" t="inlineStr">
        <is>
          <t>TR 10</t>
        </is>
      </c>
      <c r="L319" s="38" t="inlineStr">
        <is>
          <t>TR 4</t>
        </is>
      </c>
      <c r="M319" s="38" t="inlineStr">
        <is>
          <t>--</t>
        </is>
      </c>
      <c r="N319" s="38" t="inlineStr">
        <is>
          <t>--</t>
        </is>
      </c>
      <c r="O319" s="38" t="inlineStr">
        <is>
          <t>JJH</t>
        </is>
      </c>
      <c r="Q319" s="62">
        <f>IF(C319="Yes", 1, IF(C319="no", 0, IF(C319= "tardy", SUM(J319/I319),"")))</f>
        <v/>
      </c>
      <c r="R319" s="62">
        <f>LEFT(Train_Log[[#This Row],[COURSE NAME:]],FIND(" - ", Train_Log[[#This Row],[COURSE NAME:]]) -1)</f>
        <v/>
      </c>
      <c r="S319" s="62">
        <f>MID(Train_Log[[#This Row],[COURSE NAME:]],FIND(" - ", Train_Log[[#This Row],[COURSE NAME:]]), 13)</f>
        <v/>
      </c>
      <c r="T319" s="62">
        <f>MID(E319, FIND(" - ", E319) + 3, LEN(E319)) &amp; "_" &amp; TEXT(F319, "yyyymmdd") &amp; "_" &amp; TEXT(H319, "yyyymmdd")</f>
        <v/>
      </c>
    </row>
    <row r="320">
      <c r="B320" s="38" t="inlineStr">
        <is>
          <t>EE118</t>
        </is>
      </c>
      <c r="C320" s="38" t="inlineStr">
        <is>
          <t>Yes</t>
        </is>
      </c>
      <c r="D320" s="39" t="inlineStr">
        <is>
          <t>5110987</t>
        </is>
      </c>
      <c r="E320" s="38" t="inlineStr">
        <is>
          <t>PHONES - EMPLOYMENT VERIFICATION</t>
        </is>
      </c>
      <c r="F320" s="44" t="n">
        <v>45437</v>
      </c>
      <c r="G320" s="40" t="n">
        <v>45437</v>
      </c>
      <c r="H320" s="44" t="n">
        <v>45437</v>
      </c>
      <c r="I320" s="41" t="n">
        <v>4</v>
      </c>
      <c r="J320" s="42" t="n">
        <v>0</v>
      </c>
      <c r="K320" s="38" t="inlineStr">
        <is>
          <t>TR 6</t>
        </is>
      </c>
      <c r="L320" s="38" t="inlineStr">
        <is>
          <t>TR 10</t>
        </is>
      </c>
      <c r="M320" s="38" t="inlineStr">
        <is>
          <t>--</t>
        </is>
      </c>
      <c r="N320" s="38" t="inlineStr">
        <is>
          <t>--</t>
        </is>
      </c>
      <c r="O320" s="38" t="inlineStr">
        <is>
          <t>JJH</t>
        </is>
      </c>
      <c r="Q320" s="62">
        <f>IF(C320="Yes", 1, IF(C320="no", 0, IF(C320= "tardy", SUM(J320/I320),"")))</f>
        <v/>
      </c>
      <c r="R320" s="62">
        <f>LEFT(Train_Log[[#This Row],[COURSE NAME:]],FIND(" - ", Train_Log[[#This Row],[COURSE NAME:]]) -1)</f>
        <v/>
      </c>
      <c r="S320" s="62">
        <f>MID(Train_Log[[#This Row],[COURSE NAME:]],FIND(" - ", Train_Log[[#This Row],[COURSE NAME:]]), 13)</f>
        <v/>
      </c>
      <c r="T320" s="62">
        <f>MID(E320, FIND(" - ", E320) + 3, LEN(E320)) &amp; "_" &amp; TEXT(F320, "yyyymmdd") &amp; "_" &amp; TEXT(H320, "yyyymmdd")</f>
        <v/>
      </c>
    </row>
    <row r="321">
      <c r="B321" s="38" t="inlineStr">
        <is>
          <t>EE98</t>
        </is>
      </c>
      <c r="C321" s="38" t="inlineStr">
        <is>
          <t>No</t>
        </is>
      </c>
      <c r="D321" t="inlineStr">
        <is>
          <t>4921132</t>
        </is>
      </c>
      <c r="E321" s="38" t="inlineStr">
        <is>
          <t>LWOP - HCES SUPERUSER TRAINING</t>
        </is>
      </c>
      <c r="F321" s="40" t="n">
        <v>45749</v>
      </c>
      <c r="G321" s="40" t="n">
        <v>45749</v>
      </c>
      <c r="H321" s="40" t="n">
        <v>45749</v>
      </c>
      <c r="I321" s="41" t="n">
        <v>8</v>
      </c>
      <c r="J321" s="41" t="n">
        <v>8</v>
      </c>
      <c r="K321" s="38" t="inlineStr">
        <is>
          <t>TR 3</t>
        </is>
      </c>
      <c r="L321" s="38" t="inlineStr">
        <is>
          <t>TR 5</t>
        </is>
      </c>
      <c r="M321" s="38" t="inlineStr">
        <is>
          <t>--</t>
        </is>
      </c>
      <c r="N321" s="38" t="inlineStr">
        <is>
          <t>--</t>
        </is>
      </c>
      <c r="O321" s="38" t="inlineStr">
        <is>
          <t>JJH</t>
        </is>
      </c>
      <c r="Q321" s="62">
        <f>IF(C321="Yes", 1, IF(C321="no", 0, IF(C321= "tardy", SUM(J321/I321),"")))</f>
        <v/>
      </c>
      <c r="R321" s="62">
        <f>LEFT(Train_Log[[#This Row],[COURSE NAME:]],FIND(" - ", Train_Log[[#This Row],[COURSE NAME:]]) -1)</f>
        <v/>
      </c>
      <c r="S321" s="62">
        <f>MID(Train_Log[[#This Row],[COURSE NAME:]],FIND(" - ", Train_Log[[#This Row],[COURSE NAME:]]), 13)</f>
        <v/>
      </c>
      <c r="T321" s="62">
        <f>MID(E321, FIND(" - ", E321) + 3, LEN(E321)) &amp; "_" &amp; TEXT(F321, "yyyymmdd") &amp; "_" &amp; TEXT(H321, "yyyymmdd")</f>
        <v/>
      </c>
    </row>
    <row r="322">
      <c r="B322" s="38" t="inlineStr">
        <is>
          <t>EE83</t>
        </is>
      </c>
      <c r="C322" s="38" t="inlineStr">
        <is>
          <t>No</t>
        </is>
      </c>
      <c r="D322" t="inlineStr">
        <is>
          <t>6867006</t>
        </is>
      </c>
      <c r="E322" s="38" t="inlineStr">
        <is>
          <t>SUPPORT - TRAINING - PTSP TRAINING</t>
        </is>
      </c>
      <c r="F322" s="40" t="n">
        <v>45789</v>
      </c>
      <c r="G322" s="40" t="n">
        <v>45789</v>
      </c>
      <c r="H322" s="40" t="n">
        <v>45789</v>
      </c>
      <c r="I322" s="41" t="n">
        <v>4</v>
      </c>
      <c r="J322" s="41" t="n">
        <v>4</v>
      </c>
      <c r="K322" s="38" t="inlineStr">
        <is>
          <t>TR 6</t>
        </is>
      </c>
      <c r="L322" s="38" t="inlineStr">
        <is>
          <t>TR 5</t>
        </is>
      </c>
      <c r="M322" s="38" t="inlineStr">
        <is>
          <t>--</t>
        </is>
      </c>
      <c r="N322" s="38" t="inlineStr">
        <is>
          <t>--</t>
        </is>
      </c>
      <c r="O322" s="38" t="inlineStr">
        <is>
          <t>JJH</t>
        </is>
      </c>
      <c r="P322" s="50" t="n"/>
      <c r="Q322" s="62">
        <f>IF(C322="Yes", 1, IF(C322="no", 0, IF(C322= "tardy", SUM(J322/I322),"")))</f>
        <v/>
      </c>
      <c r="R322" s="62">
        <f>LEFT(Train_Log[[#This Row],[COURSE NAME:]],FIND(" - ", Train_Log[[#This Row],[COURSE NAME:]]) -1)</f>
        <v/>
      </c>
      <c r="S322" s="62">
        <f>MID(Train_Log[[#This Row],[COURSE NAME:]],FIND(" - ", Train_Log[[#This Row],[COURSE NAME:]]), 13)</f>
        <v/>
      </c>
      <c r="T322" s="62">
        <f>MID(E322, FIND(" - ", E322) + 3, LEN(E322)) &amp; "_" &amp; TEXT(F322, "yyyymmdd") &amp; "_" &amp; TEXT(H322, "yyyymmdd")</f>
        <v/>
      </c>
    </row>
    <row r="323">
      <c r="B323" s="38" t="inlineStr">
        <is>
          <t>EE189</t>
        </is>
      </c>
      <c r="C323" s="38" t="inlineStr">
        <is>
          <t>No</t>
        </is>
      </c>
      <c r="D323" s="39" t="inlineStr">
        <is>
          <t>4242955</t>
        </is>
      </c>
      <c r="E323" s="38" t="inlineStr">
        <is>
          <t>OPTIONAL RETIREMENTS - MAILBUILD</t>
        </is>
      </c>
      <c r="F323" s="40" t="n">
        <v>45547</v>
      </c>
      <c r="G323" s="40" t="n">
        <v>45547</v>
      </c>
      <c r="H323" s="40" t="n">
        <v>45547</v>
      </c>
      <c r="I323" s="41" t="n">
        <v>4</v>
      </c>
      <c r="J323" s="41" t="n">
        <v>4</v>
      </c>
      <c r="K323" s="38" t="inlineStr">
        <is>
          <t>TR 6</t>
        </is>
      </c>
      <c r="L323" s="38" t="inlineStr">
        <is>
          <t>TR 2</t>
        </is>
      </c>
      <c r="M323" s="38" t="inlineStr">
        <is>
          <t>--</t>
        </is>
      </c>
      <c r="N323" s="38" t="inlineStr">
        <is>
          <t>--</t>
        </is>
      </c>
      <c r="O323" s="38" t="inlineStr">
        <is>
          <t>JJH</t>
        </is>
      </c>
      <c r="P323" s="44" t="n"/>
      <c r="Q323" s="62">
        <f>IF(C323="Yes", 1, IF(C323="no", 0, IF(C323= "tardy", SUM(J323/I323),"")))</f>
        <v/>
      </c>
      <c r="R323" s="62">
        <f>LEFT(Train_Log[[#This Row],[COURSE NAME:]],FIND(" - ", Train_Log[[#This Row],[COURSE NAME:]]) -1)</f>
        <v/>
      </c>
      <c r="S323" s="62">
        <f>MID(Train_Log[[#This Row],[COURSE NAME:]],FIND(" - ", Train_Log[[#This Row],[COURSE NAME:]]), 13)</f>
        <v/>
      </c>
      <c r="T323" s="62">
        <f>MID(E323, FIND(" - ", E323) + 3, LEN(E323)) &amp; "_" &amp; TEXT(F323, "yyyymmdd") &amp; "_" &amp; TEXT(H323, "yyyymmdd")</f>
        <v/>
      </c>
    </row>
    <row r="324">
      <c r="B324" s="38" t="inlineStr">
        <is>
          <t>EE145</t>
        </is>
      </c>
      <c r="C324" s="38" t="inlineStr">
        <is>
          <t>No</t>
        </is>
      </c>
      <c r="D324" s="46" t="inlineStr">
        <is>
          <t>6499337</t>
        </is>
      </c>
      <c r="E324" s="38" t="inlineStr">
        <is>
          <t>SUPPORT - TRAINING - PTSP TRAINING</t>
        </is>
      </c>
      <c r="F324" s="53" t="n">
        <v>45483</v>
      </c>
      <c r="G324" s="53" t="n">
        <v>45487</v>
      </c>
      <c r="H324" s="53" t="n">
        <v>45487</v>
      </c>
      <c r="I324" s="54" t="n">
        <v>2</v>
      </c>
      <c r="J324" s="54" t="n">
        <v>2</v>
      </c>
      <c r="K324" s="45" t="inlineStr">
        <is>
          <t>TR 8</t>
        </is>
      </c>
      <c r="L324" s="45" t="inlineStr">
        <is>
          <t>TR 4</t>
        </is>
      </c>
      <c r="M324" s="38" t="inlineStr">
        <is>
          <t>--</t>
        </is>
      </c>
      <c r="N324" s="38" t="inlineStr">
        <is>
          <t>--</t>
        </is>
      </c>
      <c r="O324" s="38" t="inlineStr">
        <is>
          <t>JJH</t>
        </is>
      </c>
      <c r="P324" s="53" t="n"/>
      <c r="Q324" s="61">
        <f>IF(C324="Yes", 1, IF(C324="no", 0, IF(C324= "tardy", SUM(J324/I324),"")))</f>
        <v/>
      </c>
      <c r="R324" s="61">
        <f>LEFT(Train_Log[[#This Row],[COURSE NAME:]],FIND(" - ", Train_Log[[#This Row],[COURSE NAME:]]) -1)</f>
        <v/>
      </c>
      <c r="S324" s="61">
        <f>MID(Train_Log[[#This Row],[COURSE NAME:]],FIND(" - ", Train_Log[[#This Row],[COURSE NAME:]]), 13)</f>
        <v/>
      </c>
      <c r="T324" s="61">
        <f>MID(E324, FIND(" - ", E324) + 3, LEN(E324)) &amp; "_" &amp; TEXT(F324, "yyyymmdd") &amp; "_" &amp; TEXT(H324, "yyyymmdd")</f>
        <v/>
      </c>
    </row>
    <row r="325">
      <c r="B325" s="38" t="inlineStr">
        <is>
          <t>EE113</t>
        </is>
      </c>
      <c r="C325" s="38" t="inlineStr">
        <is>
          <t>No</t>
        </is>
      </c>
      <c r="D325" t="inlineStr">
        <is>
          <t>6093927</t>
        </is>
      </c>
      <c r="E325" s="38" t="inlineStr">
        <is>
          <t>RTR - EFORM SEPARATIONS TRAINING</t>
        </is>
      </c>
      <c r="F325" s="40" t="n">
        <v>45369</v>
      </c>
      <c r="G325" s="40" t="n">
        <v>45370</v>
      </c>
      <c r="H325" s="40" t="n">
        <v>45370</v>
      </c>
      <c r="I325" s="41" t="n">
        <v>2</v>
      </c>
      <c r="J325" s="41" t="n">
        <v>2</v>
      </c>
      <c r="K325" s="38" t="inlineStr">
        <is>
          <t>TR 5</t>
        </is>
      </c>
      <c r="L325" s="38" t="inlineStr">
        <is>
          <t>TR 4</t>
        </is>
      </c>
      <c r="M325" s="38" t="inlineStr">
        <is>
          <t>--</t>
        </is>
      </c>
      <c r="N325" s="38" t="inlineStr">
        <is>
          <t>--</t>
        </is>
      </c>
      <c r="O325" s="38" t="inlineStr">
        <is>
          <t>JJH</t>
        </is>
      </c>
      <c r="Q325" s="62">
        <f>IF(C325="Yes", 1, IF(C325="no", 0, IF(C325= "tardy", SUM(J325/I325),"")))</f>
        <v/>
      </c>
      <c r="R325" s="62">
        <f>LEFT(Train_Log[[#This Row],[COURSE NAME:]],FIND(" - ", Train_Log[[#This Row],[COURSE NAME:]]) -1)</f>
        <v/>
      </c>
      <c r="S325" s="62">
        <f>MID(Train_Log[[#This Row],[COURSE NAME:]],FIND(" - ", Train_Log[[#This Row],[COURSE NAME:]]), 13)</f>
        <v/>
      </c>
      <c r="T325" s="62">
        <f>MID(E325, FIND(" - ", E325) + 3, LEN(E325)) &amp; "_" &amp; TEXT(F325, "yyyymmdd") &amp; "_" &amp; TEXT(H325, "yyyymmdd")</f>
        <v/>
      </c>
    </row>
    <row r="326">
      <c r="B326" s="38" t="inlineStr">
        <is>
          <t>EE65</t>
        </is>
      </c>
      <c r="C326" s="38" t="inlineStr">
        <is>
          <t>No</t>
        </is>
      </c>
      <c r="D326" t="inlineStr">
        <is>
          <t>6773539</t>
        </is>
      </c>
      <c r="E326" s="38" t="inlineStr">
        <is>
          <t>PHONES - LWOP</t>
        </is>
      </c>
      <c r="F326" s="40" t="n">
        <v>45732</v>
      </c>
      <c r="G326" s="40" t="n">
        <v>45733</v>
      </c>
      <c r="H326" s="40" t="n">
        <v>45733</v>
      </c>
      <c r="I326" s="41" t="n">
        <v>8</v>
      </c>
      <c r="J326" s="41" t="n">
        <v>8</v>
      </c>
      <c r="K326" s="38" t="inlineStr">
        <is>
          <t>TR 8</t>
        </is>
      </c>
      <c r="L326" s="38" t="inlineStr">
        <is>
          <t>TR 10</t>
        </is>
      </c>
      <c r="M326" s="38" t="inlineStr">
        <is>
          <t>--</t>
        </is>
      </c>
      <c r="N326" s="38" t="inlineStr">
        <is>
          <t>--</t>
        </is>
      </c>
      <c r="O326" s="38" t="inlineStr">
        <is>
          <t>JJH</t>
        </is>
      </c>
      <c r="P326" s="59" t="n"/>
      <c r="Q326" s="62">
        <f>IF(C326="Yes", 1, IF(C326="no", 0, IF(C326= "tardy", SUM(J326/I326),"")))</f>
        <v/>
      </c>
      <c r="R326" s="62">
        <f>LEFT(Train_Log[[#This Row],[COURSE NAME:]],FIND(" - ", Train_Log[[#This Row],[COURSE NAME:]]) -1)</f>
        <v/>
      </c>
      <c r="S326" s="62">
        <f>MID(Train_Log[[#This Row],[COURSE NAME:]],FIND(" - ", Train_Log[[#This Row],[COURSE NAME:]]), 13)</f>
        <v/>
      </c>
      <c r="T326" s="62">
        <f>MID(E326, FIND(" - ", E326) + 3, LEN(E326)) &amp; "_" &amp; TEXT(F326, "yyyymmdd") &amp; "_" &amp; TEXT(H326, "yyyymmdd")</f>
        <v/>
      </c>
    </row>
    <row r="327">
      <c r="B327" s="38" t="inlineStr">
        <is>
          <t>EE103</t>
        </is>
      </c>
      <c r="C327" s="38" t="inlineStr">
        <is>
          <t>No</t>
        </is>
      </c>
      <c r="D327" t="inlineStr">
        <is>
          <t>4134638</t>
        </is>
      </c>
      <c r="E327" s="38" t="inlineStr">
        <is>
          <t>LWOP - HCES SU FACILITATION TRAINING</t>
        </is>
      </c>
      <c r="F327" s="40" t="n">
        <v>45336</v>
      </c>
      <c r="G327" s="40" t="n">
        <v>45336</v>
      </c>
      <c r="H327" s="40" t="n">
        <v>45336</v>
      </c>
      <c r="I327" s="41" t="n">
        <v>8</v>
      </c>
      <c r="J327" s="41" t="n">
        <v>8</v>
      </c>
      <c r="K327" s="38" t="inlineStr">
        <is>
          <t>TR 10</t>
        </is>
      </c>
      <c r="L327" s="38" t="inlineStr">
        <is>
          <t>--</t>
        </is>
      </c>
      <c r="M327" s="38" t="inlineStr">
        <is>
          <t>--</t>
        </is>
      </c>
      <c r="N327" s="38" t="inlineStr">
        <is>
          <t>--</t>
        </is>
      </c>
      <c r="O327" s="38" t="inlineStr">
        <is>
          <t>JJH</t>
        </is>
      </c>
      <c r="P327" s="59" t="n"/>
      <c r="Q327" s="62">
        <f>IF(C327="Yes", 1, IF(C327="no", 0, IF(C327= "tardy", SUM(J327/I327),"")))</f>
        <v/>
      </c>
      <c r="R327" s="62">
        <f>LEFT(Train_Log[[#This Row],[COURSE NAME:]],FIND(" - ", Train_Log[[#This Row],[COURSE NAME:]]) -1)</f>
        <v/>
      </c>
      <c r="S327" s="62">
        <f>MID(Train_Log[[#This Row],[COURSE NAME:]],FIND(" - ", Train_Log[[#This Row],[COURSE NAME:]]), 13)</f>
        <v/>
      </c>
      <c r="T327" s="62">
        <f>MID(E327, FIND(" - ", E327) + 3, LEN(E327)) &amp; "_" &amp; TEXT(F327, "yyyymmdd") &amp; "_" &amp; TEXT(H327, "yyyymmdd")</f>
        <v/>
      </c>
    </row>
    <row r="328">
      <c r="B328" s="38" t="inlineStr">
        <is>
          <t>EE22</t>
        </is>
      </c>
      <c r="C328" s="38" t="inlineStr">
        <is>
          <t>No</t>
        </is>
      </c>
      <c r="D328" t="inlineStr">
        <is>
          <t>6354032</t>
        </is>
      </c>
      <c r="E328" s="38" t="inlineStr">
        <is>
          <t>PHONES - EMPLOYMENT VERIFICATION</t>
        </is>
      </c>
      <c r="F328" s="40" t="n">
        <v>45553</v>
      </c>
      <c r="G328" s="40" t="n">
        <v>45557</v>
      </c>
      <c r="H328" s="40" t="n">
        <v>45557</v>
      </c>
      <c r="I328" s="41" t="n">
        <v>2</v>
      </c>
      <c r="J328" s="41" t="n">
        <v>2</v>
      </c>
      <c r="K328" s="38" t="inlineStr">
        <is>
          <t>TR 10</t>
        </is>
      </c>
      <c r="L328" s="38" t="inlineStr">
        <is>
          <t>TR 1</t>
        </is>
      </c>
      <c r="M328" s="38" t="inlineStr">
        <is>
          <t>--</t>
        </is>
      </c>
      <c r="N328" s="38" t="inlineStr">
        <is>
          <t>--</t>
        </is>
      </c>
      <c r="O328" s="38" t="inlineStr">
        <is>
          <t>JJH</t>
        </is>
      </c>
      <c r="P328" s="59" t="n"/>
      <c r="Q328" s="62">
        <f>IF(C328="Yes", 1, IF(C328="no", 0, IF(C328= "tardy", SUM(J328/I328),"")))</f>
        <v/>
      </c>
      <c r="R328" s="62">
        <f>LEFT(Train_Log[[#This Row],[COURSE NAME:]],FIND(" - ", Train_Log[[#This Row],[COURSE NAME:]]) -1)</f>
        <v/>
      </c>
      <c r="S328" s="62">
        <f>MID(Train_Log[[#This Row],[COURSE NAME:]],FIND(" - ", Train_Log[[#This Row],[COURSE NAME:]]), 13)</f>
        <v/>
      </c>
      <c r="T328" s="62">
        <f>MID(E328, FIND(" - ", E328) + 3, LEN(E328)) &amp; "_" &amp; TEXT(F328, "yyyymmdd") &amp; "_" &amp; TEXT(H328, "yyyymmdd")</f>
        <v/>
      </c>
    </row>
    <row r="329">
      <c r="B329" s="38" t="inlineStr">
        <is>
          <t>EE145</t>
        </is>
      </c>
      <c r="C329" s="38" t="inlineStr">
        <is>
          <t>No</t>
        </is>
      </c>
      <c r="D329" t="inlineStr">
        <is>
          <t>6499337</t>
        </is>
      </c>
      <c r="E329" s="38" t="inlineStr">
        <is>
          <t>LWOP - HCES SU FACILITATION TRAINING</t>
        </is>
      </c>
      <c r="F329" s="40" t="n">
        <v>45638</v>
      </c>
      <c r="G329" s="40" t="n">
        <v>45639</v>
      </c>
      <c r="H329" s="40" t="n">
        <v>45639</v>
      </c>
      <c r="I329" s="41" t="n">
        <v>2</v>
      </c>
      <c r="J329" s="41" t="n">
        <v>2</v>
      </c>
      <c r="K329" s="38" t="inlineStr">
        <is>
          <t>TR 5</t>
        </is>
      </c>
      <c r="L329" s="38" t="inlineStr">
        <is>
          <t>TR 4</t>
        </is>
      </c>
      <c r="M329" s="38" t="inlineStr">
        <is>
          <t>--</t>
        </is>
      </c>
      <c r="N329" s="38" t="inlineStr">
        <is>
          <t>--</t>
        </is>
      </c>
      <c r="O329" s="38" t="inlineStr">
        <is>
          <t>JJH</t>
        </is>
      </c>
      <c r="P329" s="59" t="n"/>
      <c r="Q329" s="62">
        <f>IF(C329="Yes", 1, IF(C329="no", 0, IF(C329= "tardy", SUM(J329/I329),"")))</f>
        <v/>
      </c>
      <c r="R329" s="62">
        <f>LEFT(Train_Log[[#This Row],[COURSE NAME:]],FIND(" - ", Train_Log[[#This Row],[COURSE NAME:]]) -1)</f>
        <v/>
      </c>
      <c r="S329" s="62">
        <f>MID(Train_Log[[#This Row],[COURSE NAME:]],FIND(" - ", Train_Log[[#This Row],[COURSE NAME:]]), 13)</f>
        <v/>
      </c>
      <c r="T329" s="62">
        <f>MID(E329, FIND(" - ", E329) + 3, LEN(E329)) &amp; "_" &amp; TEXT(F329, "yyyymmdd") &amp; "_" &amp; TEXT(H329, "yyyymmdd")</f>
        <v/>
      </c>
    </row>
    <row r="330">
      <c r="B330" s="38" t="inlineStr">
        <is>
          <t>EE131</t>
        </is>
      </c>
      <c r="C330" s="38" t="inlineStr">
        <is>
          <t>No</t>
        </is>
      </c>
      <c r="D330" s="39" t="inlineStr">
        <is>
          <t>6137108</t>
        </is>
      </c>
      <c r="E330" s="38" t="inlineStr">
        <is>
          <t>SUPPORT - TRAINING - PTSP TRAINING</t>
        </is>
      </c>
      <c r="F330" s="44" t="n">
        <v>45755</v>
      </c>
      <c r="G330" s="40" t="n">
        <v>45755</v>
      </c>
      <c r="H330" s="44" t="n">
        <v>45755</v>
      </c>
      <c r="I330" s="41" t="n">
        <v>8</v>
      </c>
      <c r="J330" s="42" t="n">
        <v>8</v>
      </c>
      <c r="K330" s="38" t="inlineStr">
        <is>
          <t>TR 9</t>
        </is>
      </c>
      <c r="L330" s="38" t="inlineStr">
        <is>
          <t>TR 3</t>
        </is>
      </c>
      <c r="M330" s="38" t="inlineStr">
        <is>
          <t>--</t>
        </is>
      </c>
      <c r="N330" s="38" t="inlineStr">
        <is>
          <t>--</t>
        </is>
      </c>
      <c r="O330" s="38" t="inlineStr">
        <is>
          <t>JJH</t>
        </is>
      </c>
      <c r="Q330" s="62">
        <f>IF(C330="Yes", 1, IF(C330="no", 0, IF(C330= "tardy", SUM(J330/I330),"")))</f>
        <v/>
      </c>
      <c r="R330" s="62">
        <f>LEFT(Train_Log[[#This Row],[COURSE NAME:]],FIND(" - ", Train_Log[[#This Row],[COURSE NAME:]]) -1)</f>
        <v/>
      </c>
      <c r="S330" s="62">
        <f>MID(Train_Log[[#This Row],[COURSE NAME:]],FIND(" - ", Train_Log[[#This Row],[COURSE NAME:]]), 13)</f>
        <v/>
      </c>
      <c r="T330" s="62">
        <f>MID(E330, FIND(" - ", E330) + 3, LEN(E330)) &amp; "_" &amp; TEXT(F330, "yyyymmdd") &amp; "_" &amp; TEXT(H330, "yyyymmdd")</f>
        <v/>
      </c>
    </row>
    <row r="331">
      <c r="B331" s="38" t="inlineStr">
        <is>
          <t>EE89</t>
        </is>
      </c>
      <c r="C331" s="38" t="inlineStr">
        <is>
          <t>No</t>
        </is>
      </c>
      <c r="D331" s="39" t="inlineStr">
        <is>
          <t>6240345</t>
        </is>
      </c>
      <c r="E331" s="38" t="inlineStr">
        <is>
          <t>PHONES - BENEFITS</t>
        </is>
      </c>
      <c r="F331" s="44" t="n">
        <v>45793</v>
      </c>
      <c r="G331" s="40" t="n">
        <v>45793</v>
      </c>
      <c r="H331" s="44" t="n">
        <v>45793</v>
      </c>
      <c r="I331" s="41" t="n">
        <v>2</v>
      </c>
      <c r="J331" s="42" t="n">
        <v>2</v>
      </c>
      <c r="K331" s="38" t="inlineStr">
        <is>
          <t>TR 2</t>
        </is>
      </c>
      <c r="L331" s="38" t="inlineStr">
        <is>
          <t>TR 3</t>
        </is>
      </c>
      <c r="M331" s="38" t="inlineStr">
        <is>
          <t>--</t>
        </is>
      </c>
      <c r="N331" s="38" t="inlineStr">
        <is>
          <t>--</t>
        </is>
      </c>
      <c r="O331" s="38" t="inlineStr">
        <is>
          <t>JJH</t>
        </is>
      </c>
      <c r="Q331" s="62">
        <f>IF(C331="Yes", 1, IF(C331="no", 0, IF(C331= "tardy", SUM(J331/I331),"")))</f>
        <v/>
      </c>
      <c r="R331" s="62">
        <f>LEFT(Train_Log[[#This Row],[COURSE NAME:]],FIND(" - ", Train_Log[[#This Row],[COURSE NAME:]]) -1)</f>
        <v/>
      </c>
      <c r="S331" s="62">
        <f>MID(Train_Log[[#This Row],[COURSE NAME:]],FIND(" - ", Train_Log[[#This Row],[COURSE NAME:]]), 13)</f>
        <v/>
      </c>
      <c r="T331" s="62">
        <f>MID(E331, FIND(" - ", E331) + 3, LEN(E331)) &amp; "_" &amp; TEXT(F331, "yyyymmdd") &amp; "_" &amp; TEXT(H331, "yyyymmdd")</f>
        <v/>
      </c>
    </row>
    <row r="332">
      <c r="B332" s="38" t="inlineStr">
        <is>
          <t>EE90</t>
        </is>
      </c>
      <c r="C332" s="38" t="inlineStr">
        <is>
          <t>No</t>
        </is>
      </c>
      <c r="D332" s="39" t="inlineStr">
        <is>
          <t>5026811</t>
        </is>
      </c>
      <c r="E332" s="38" t="inlineStr">
        <is>
          <t>RTR - EFORM SEPARATIONS TRAINING</t>
        </is>
      </c>
      <c r="F332" s="44" t="n">
        <v>45650</v>
      </c>
      <c r="G332" s="40" t="n">
        <v>45651</v>
      </c>
      <c r="H332" s="44" t="n">
        <v>45651</v>
      </c>
      <c r="I332" s="41" t="n">
        <v>8</v>
      </c>
      <c r="J332" s="42" t="n">
        <v>8</v>
      </c>
      <c r="K332" s="38" t="inlineStr">
        <is>
          <t>TR 8</t>
        </is>
      </c>
      <c r="L332" s="38" t="inlineStr">
        <is>
          <t>TR 6</t>
        </is>
      </c>
      <c r="M332" s="38" t="inlineStr">
        <is>
          <t>--</t>
        </is>
      </c>
      <c r="N332" s="38" t="inlineStr">
        <is>
          <t>--</t>
        </is>
      </c>
      <c r="O332" s="38" t="inlineStr">
        <is>
          <t>JJH</t>
        </is>
      </c>
      <c r="Q332" s="62">
        <f>IF(C332="Yes", 1, IF(C332="no", 0, IF(C332= "tardy", SUM(J332/I332),"")))</f>
        <v/>
      </c>
      <c r="R332" s="62">
        <f>LEFT(Train_Log[[#This Row],[COURSE NAME:]],FIND(" - ", Train_Log[[#This Row],[COURSE NAME:]]) -1)</f>
        <v/>
      </c>
      <c r="S332" s="62">
        <f>MID(Train_Log[[#This Row],[COURSE NAME:]],FIND(" - ", Train_Log[[#This Row],[COURSE NAME:]]), 13)</f>
        <v/>
      </c>
      <c r="T332" s="62">
        <f>MID(E332, FIND(" - ", E332) + 3, LEN(E332)) &amp; "_" &amp; TEXT(F332, "yyyymmdd") &amp; "_" &amp; TEXT(H332, "yyyymmdd")</f>
        <v/>
      </c>
    </row>
    <row r="333">
      <c r="B333" s="38" t="inlineStr">
        <is>
          <t>EE122</t>
        </is>
      </c>
      <c r="C333" s="38" t="inlineStr">
        <is>
          <t>No</t>
        </is>
      </c>
      <c r="D333" s="39" t="inlineStr">
        <is>
          <t>6260634</t>
        </is>
      </c>
      <c r="E333" s="38" t="inlineStr">
        <is>
          <t>PHONES - EMPLOYMENT VERIFICATION</t>
        </is>
      </c>
      <c r="F333" s="44" t="n">
        <v>45747</v>
      </c>
      <c r="G333" s="40" t="n">
        <v>45751</v>
      </c>
      <c r="H333" s="44" t="n">
        <v>45751</v>
      </c>
      <c r="I333" s="41" t="n">
        <v>3</v>
      </c>
      <c r="J333" s="42" t="n">
        <v>3</v>
      </c>
      <c r="K333" s="38" t="inlineStr">
        <is>
          <t>TR 2</t>
        </is>
      </c>
      <c r="L333" s="38" t="inlineStr">
        <is>
          <t>TR 5</t>
        </is>
      </c>
      <c r="M333" s="38" t="inlineStr">
        <is>
          <t>--</t>
        </is>
      </c>
      <c r="N333" s="38" t="inlineStr">
        <is>
          <t>--</t>
        </is>
      </c>
      <c r="O333" s="38" t="inlineStr">
        <is>
          <t>JJH</t>
        </is>
      </c>
      <c r="Q333" s="62">
        <f>IF(C333="Yes", 1, IF(C333="no", 0, IF(C333= "tardy", SUM(J333/I333),"")))</f>
        <v/>
      </c>
      <c r="R333" s="62">
        <f>LEFT(Train_Log[[#This Row],[COURSE NAME:]],FIND(" - ", Train_Log[[#This Row],[COURSE NAME:]]) -1)</f>
        <v/>
      </c>
      <c r="S333" s="62">
        <f>MID(Train_Log[[#This Row],[COURSE NAME:]],FIND(" - ", Train_Log[[#This Row],[COURSE NAME:]]), 13)</f>
        <v/>
      </c>
      <c r="T333" s="62">
        <f>MID(E333, FIND(" - ", E333) + 3, LEN(E333)) &amp; "_" &amp; TEXT(F333, "yyyymmdd") &amp; "_" &amp; TEXT(H333, "yyyymmdd")</f>
        <v/>
      </c>
    </row>
    <row r="334">
      <c r="B334" s="38" t="inlineStr">
        <is>
          <t>EE12</t>
        </is>
      </c>
      <c r="C334" s="38" t="inlineStr">
        <is>
          <t>No</t>
        </is>
      </c>
      <c r="D334" s="39" t="inlineStr">
        <is>
          <t>6476705</t>
        </is>
      </c>
      <c r="E334" s="38" t="inlineStr">
        <is>
          <t>PHONES - EMPLOYMENT VERIFICATION</t>
        </is>
      </c>
      <c r="F334" s="44" t="n">
        <v>45322</v>
      </c>
      <c r="G334" s="40" t="n">
        <v>45322</v>
      </c>
      <c r="H334" s="44" t="n">
        <v>45322</v>
      </c>
      <c r="I334" s="41" t="n">
        <v>2</v>
      </c>
      <c r="J334" s="42" t="n">
        <v>2</v>
      </c>
      <c r="K334" s="38" t="inlineStr">
        <is>
          <t>TR 4</t>
        </is>
      </c>
      <c r="L334" s="38" t="inlineStr">
        <is>
          <t>TR 9</t>
        </is>
      </c>
      <c r="M334" s="38" t="inlineStr">
        <is>
          <t>--</t>
        </is>
      </c>
      <c r="N334" s="38" t="inlineStr">
        <is>
          <t>--</t>
        </is>
      </c>
      <c r="O334" s="38" t="inlineStr">
        <is>
          <t>JJH</t>
        </is>
      </c>
      <c r="Q334" s="62">
        <f>IF(C334="Yes", 1, IF(C334="no", 0, IF(C334= "tardy", SUM(J334/I334),"")))</f>
        <v/>
      </c>
      <c r="R334" s="62">
        <f>LEFT(Train_Log[[#This Row],[COURSE NAME:]],FIND(" - ", Train_Log[[#This Row],[COURSE NAME:]]) -1)</f>
        <v/>
      </c>
      <c r="S334" s="62">
        <f>MID(Train_Log[[#This Row],[COURSE NAME:]],FIND(" - ", Train_Log[[#This Row],[COURSE NAME:]]), 13)</f>
        <v/>
      </c>
      <c r="T334" s="62">
        <f>MID(E334, FIND(" - ", E334) + 3, LEN(E334)) &amp; "_" &amp; TEXT(F334, "yyyymmdd") &amp; "_" &amp; TEXT(H334, "yyyymmdd")</f>
        <v/>
      </c>
    </row>
    <row r="335">
      <c r="B335" s="38" t="inlineStr">
        <is>
          <t>EE45</t>
        </is>
      </c>
      <c r="C335" s="38" t="inlineStr">
        <is>
          <t>No</t>
        </is>
      </c>
      <c r="D335" s="39" t="inlineStr">
        <is>
          <t>5505668</t>
        </is>
      </c>
      <c r="E335" s="38" t="inlineStr">
        <is>
          <t>PHONES - LWOP</t>
        </is>
      </c>
      <c r="F335" s="44" t="n">
        <v>45637</v>
      </c>
      <c r="G335" s="40" t="n">
        <v>45639</v>
      </c>
      <c r="H335" s="44" t="n">
        <v>45639</v>
      </c>
      <c r="I335" s="41" t="n">
        <v>4</v>
      </c>
      <c r="J335" s="42" t="n">
        <v>4</v>
      </c>
      <c r="K335" s="38" t="inlineStr">
        <is>
          <t>TR 4</t>
        </is>
      </c>
      <c r="L335" s="38" t="inlineStr">
        <is>
          <t>TR 7</t>
        </is>
      </c>
      <c r="M335" s="38" t="inlineStr">
        <is>
          <t>--</t>
        </is>
      </c>
      <c r="N335" s="38" t="inlineStr">
        <is>
          <t>--</t>
        </is>
      </c>
      <c r="O335" s="38" t="inlineStr">
        <is>
          <t>JJH</t>
        </is>
      </c>
      <c r="Q335" s="62">
        <f>IF(C335="Yes", 1, IF(C335="no", 0, IF(C335= "tardy", SUM(J335/I335),"")))</f>
        <v/>
      </c>
      <c r="R335" s="62">
        <f>LEFT(Train_Log[[#This Row],[COURSE NAME:]],FIND(" - ", Train_Log[[#This Row],[COURSE NAME:]]) -1)</f>
        <v/>
      </c>
      <c r="S335" s="62">
        <f>MID(Train_Log[[#This Row],[COURSE NAME:]],FIND(" - ", Train_Log[[#This Row],[COURSE NAME:]]), 13)</f>
        <v/>
      </c>
      <c r="T335" s="62">
        <f>MID(E335, FIND(" - ", E335) + 3, LEN(E335)) &amp; "_" &amp; TEXT(F335, "yyyymmdd") &amp; "_" &amp; TEXT(H335, "yyyymmdd")</f>
        <v/>
      </c>
    </row>
    <row r="336">
      <c r="B336" s="38" t="inlineStr">
        <is>
          <t>EE162</t>
        </is>
      </c>
      <c r="C336" s="38" t="inlineStr">
        <is>
          <t>No</t>
        </is>
      </c>
      <c r="D336" s="39" t="inlineStr">
        <is>
          <t>5903055</t>
        </is>
      </c>
      <c r="E336" s="38" t="inlineStr">
        <is>
          <t>PHONES - LWOP</t>
        </is>
      </c>
      <c r="F336" s="44" t="n">
        <v>45489</v>
      </c>
      <c r="G336" s="40" t="n">
        <v>45493</v>
      </c>
      <c r="H336" s="44" t="n">
        <v>45493</v>
      </c>
      <c r="I336" s="41" t="n">
        <v>4</v>
      </c>
      <c r="J336" s="42" t="n">
        <v>4</v>
      </c>
      <c r="K336" s="38" t="inlineStr">
        <is>
          <t>TR 1</t>
        </is>
      </c>
      <c r="L336" s="38" t="inlineStr">
        <is>
          <t>TR 10</t>
        </is>
      </c>
      <c r="M336" s="38" t="inlineStr">
        <is>
          <t>--</t>
        </is>
      </c>
      <c r="N336" s="38" t="inlineStr">
        <is>
          <t>--</t>
        </is>
      </c>
      <c r="O336" s="38" t="inlineStr">
        <is>
          <t>JJH</t>
        </is>
      </c>
      <c r="Q336" s="62">
        <f>IF(C336="Yes", 1, IF(C336="no", 0, IF(C336= "tardy", SUM(J336/I336),"")))</f>
        <v/>
      </c>
      <c r="R336" s="62">
        <f>LEFT(Train_Log[[#This Row],[COURSE NAME:]],FIND(" - ", Train_Log[[#This Row],[COURSE NAME:]]) -1)</f>
        <v/>
      </c>
      <c r="S336" s="62">
        <f>MID(Train_Log[[#This Row],[COURSE NAME:]],FIND(" - ", Train_Log[[#This Row],[COURSE NAME:]]), 13)</f>
        <v/>
      </c>
      <c r="T336" s="62">
        <f>MID(E336, FIND(" - ", E336) + 3, LEN(E336)) &amp; "_" &amp; TEXT(F336, "yyyymmdd") &amp; "_" &amp; TEXT(H336, "yyyymmdd")</f>
        <v/>
      </c>
    </row>
    <row r="337">
      <c r="B337" s="38" t="inlineStr">
        <is>
          <t>EE51</t>
        </is>
      </c>
      <c r="C337" s="38" t="inlineStr">
        <is>
          <t>Yes</t>
        </is>
      </c>
      <c r="D337" s="39" t="inlineStr">
        <is>
          <t>6249103</t>
        </is>
      </c>
      <c r="E337" s="38" t="inlineStr">
        <is>
          <t>OPTIONAL RETIREMENTS - MAILBUILD</t>
        </is>
      </c>
      <c r="F337" s="44" t="n">
        <v>45738</v>
      </c>
      <c r="G337" s="40" t="n">
        <v>45739</v>
      </c>
      <c r="H337" s="44" t="n">
        <v>45739</v>
      </c>
      <c r="I337" s="41" t="n">
        <v>2</v>
      </c>
      <c r="J337" s="42" t="n">
        <v>0</v>
      </c>
      <c r="K337" s="38" t="inlineStr">
        <is>
          <t>TR 4</t>
        </is>
      </c>
      <c r="L337" s="38" t="inlineStr">
        <is>
          <t>TR 5</t>
        </is>
      </c>
      <c r="M337" s="38" t="inlineStr">
        <is>
          <t>--</t>
        </is>
      </c>
      <c r="N337" s="38" t="inlineStr">
        <is>
          <t>--</t>
        </is>
      </c>
      <c r="O337" s="38" t="inlineStr">
        <is>
          <t>JJH</t>
        </is>
      </c>
      <c r="Q337" s="62">
        <f>IF(C337="Yes", 1, IF(C337="no", 0, IF(C337= "tardy", SUM(J337/I337),"")))</f>
        <v/>
      </c>
      <c r="R337" s="62">
        <f>LEFT(Train_Log[[#This Row],[COURSE NAME:]],FIND(" - ", Train_Log[[#This Row],[COURSE NAME:]]) -1)</f>
        <v/>
      </c>
      <c r="S337" s="62">
        <f>MID(Train_Log[[#This Row],[COURSE NAME:]],FIND(" - ", Train_Log[[#This Row],[COURSE NAME:]]), 13)</f>
        <v/>
      </c>
      <c r="T337" s="62">
        <f>MID(E337, FIND(" - ", E337) + 3, LEN(E337)) &amp; "_" &amp; TEXT(F337, "yyyymmdd") &amp; "_" &amp; TEXT(H337, "yyyymmdd")</f>
        <v/>
      </c>
    </row>
    <row r="338">
      <c r="B338" s="38" t="inlineStr">
        <is>
          <t>EE181</t>
        </is>
      </c>
      <c r="C338" s="38" t="inlineStr">
        <is>
          <t>No</t>
        </is>
      </c>
      <c r="D338" s="39" t="inlineStr">
        <is>
          <t>6512155</t>
        </is>
      </c>
      <c r="E338" s="38" t="inlineStr">
        <is>
          <t>PHONES - EMPLOYMENT VERIFICATION</t>
        </is>
      </c>
      <c r="F338" s="44" t="n">
        <v>45403</v>
      </c>
      <c r="G338" s="40" t="n">
        <v>45405</v>
      </c>
      <c r="H338" s="44" t="n">
        <v>45405</v>
      </c>
      <c r="I338" s="41" t="n">
        <v>3</v>
      </c>
      <c r="J338" s="42" t="n">
        <v>3</v>
      </c>
      <c r="K338" s="38" t="inlineStr">
        <is>
          <t>TR 4</t>
        </is>
      </c>
      <c r="L338" s="38" t="inlineStr">
        <is>
          <t>TR 8</t>
        </is>
      </c>
      <c r="M338" s="38" t="inlineStr">
        <is>
          <t>--</t>
        </is>
      </c>
      <c r="N338" s="38" t="inlineStr">
        <is>
          <t>--</t>
        </is>
      </c>
      <c r="O338" s="38" t="inlineStr">
        <is>
          <t>JJH</t>
        </is>
      </c>
      <c r="Q338" s="62">
        <f>IF(C338="Yes", 1, IF(C338="no", 0, IF(C338= "tardy", SUM(J338/I338),"")))</f>
        <v/>
      </c>
      <c r="R338" s="62">
        <f>LEFT(Train_Log[[#This Row],[COURSE NAME:]],FIND(" - ", Train_Log[[#This Row],[COURSE NAME:]]) -1)</f>
        <v/>
      </c>
      <c r="S338" s="62">
        <f>MID(Train_Log[[#This Row],[COURSE NAME:]],FIND(" - ", Train_Log[[#This Row],[COURSE NAME:]]), 13)</f>
        <v/>
      </c>
      <c r="T338" s="62">
        <f>MID(E338, FIND(" - ", E338) + 3, LEN(E338)) &amp; "_" &amp; TEXT(F338, "yyyymmdd") &amp; "_" &amp; TEXT(H338, "yyyymmdd")</f>
        <v/>
      </c>
    </row>
    <row r="339">
      <c r="B339" s="38" t="inlineStr">
        <is>
          <t>EE30</t>
        </is>
      </c>
      <c r="C339" s="38" t="inlineStr">
        <is>
          <t>No</t>
        </is>
      </c>
      <c r="D339" s="39" t="inlineStr">
        <is>
          <t>6471559</t>
        </is>
      </c>
      <c r="E339" s="38" t="inlineStr">
        <is>
          <t>RTR - EFORM SEPARATIONS TRAINING</t>
        </is>
      </c>
      <c r="F339" s="44" t="n">
        <v>45800</v>
      </c>
      <c r="G339" s="40" t="n">
        <v>45802</v>
      </c>
      <c r="H339" s="44" t="n">
        <v>45802</v>
      </c>
      <c r="I339" s="41" t="n">
        <v>3</v>
      </c>
      <c r="J339" s="42" t="n">
        <v>3</v>
      </c>
      <c r="K339" s="38" t="inlineStr">
        <is>
          <t>TR 10</t>
        </is>
      </c>
      <c r="L339" s="38" t="inlineStr">
        <is>
          <t>TR 7</t>
        </is>
      </c>
      <c r="M339" s="38" t="inlineStr">
        <is>
          <t>--</t>
        </is>
      </c>
      <c r="N339" s="38" t="inlineStr">
        <is>
          <t>--</t>
        </is>
      </c>
      <c r="O339" s="38" t="inlineStr">
        <is>
          <t>JJH</t>
        </is>
      </c>
      <c r="Q339" s="62">
        <f>IF(C339="Yes", 1, IF(C339="no", 0, IF(C339= "tardy", SUM(J339/I339),"")))</f>
        <v/>
      </c>
      <c r="R339" s="62">
        <f>LEFT(Train_Log[[#This Row],[COURSE NAME:]],FIND(" - ", Train_Log[[#This Row],[COURSE NAME:]]) -1)</f>
        <v/>
      </c>
      <c r="S339" s="62">
        <f>MID(Train_Log[[#This Row],[COURSE NAME:]],FIND(" - ", Train_Log[[#This Row],[COURSE NAME:]]), 13)</f>
        <v/>
      </c>
      <c r="T339" s="62">
        <f>MID(E339, FIND(" - ", E339) + 3, LEN(E339)) &amp; "_" &amp; TEXT(F339, "yyyymmdd") &amp; "_" &amp; TEXT(H339, "yyyymmdd")</f>
        <v/>
      </c>
    </row>
    <row r="340">
      <c r="B340" s="38" t="inlineStr">
        <is>
          <t>EE157</t>
        </is>
      </c>
      <c r="C340" s="38" t="inlineStr">
        <is>
          <t>No</t>
        </is>
      </c>
      <c r="D340" s="39" t="inlineStr">
        <is>
          <t>5426799</t>
        </is>
      </c>
      <c r="E340" s="38" t="inlineStr">
        <is>
          <t>LWOP - HCES SU FACILITATION TRAINING</t>
        </is>
      </c>
      <c r="F340" s="44" t="n">
        <v>45415</v>
      </c>
      <c r="G340" s="40" t="n">
        <v>45415</v>
      </c>
      <c r="H340" s="44" t="n">
        <v>45415</v>
      </c>
      <c r="I340" s="41" t="n">
        <v>4</v>
      </c>
      <c r="J340" s="42" t="n">
        <v>4</v>
      </c>
      <c r="K340" s="38" t="inlineStr">
        <is>
          <t>TR 10</t>
        </is>
      </c>
      <c r="L340" s="38" t="inlineStr">
        <is>
          <t>TR 3</t>
        </is>
      </c>
      <c r="M340" s="38" t="inlineStr">
        <is>
          <t>--</t>
        </is>
      </c>
      <c r="N340" s="38" t="inlineStr">
        <is>
          <t>--</t>
        </is>
      </c>
      <c r="O340" s="38" t="inlineStr">
        <is>
          <t>JJH</t>
        </is>
      </c>
      <c r="Q340" s="62">
        <f>IF(C340="Yes", 1, IF(C340="no", 0, IF(C340= "tardy", SUM(J340/I340),"")))</f>
        <v/>
      </c>
      <c r="R340" s="62">
        <f>LEFT(Train_Log[[#This Row],[COURSE NAME:]],FIND(" - ", Train_Log[[#This Row],[COURSE NAME:]]) -1)</f>
        <v/>
      </c>
      <c r="S340" s="62">
        <f>MID(Train_Log[[#This Row],[COURSE NAME:]],FIND(" - ", Train_Log[[#This Row],[COURSE NAME:]]), 13)</f>
        <v/>
      </c>
      <c r="T340" s="62">
        <f>MID(E340, FIND(" - ", E340) + 3, LEN(E340)) &amp; "_" &amp; TEXT(F340, "yyyymmdd") &amp; "_" &amp; TEXT(H340, "yyyymmdd")</f>
        <v/>
      </c>
    </row>
    <row r="341">
      <c r="B341" s="38" t="inlineStr">
        <is>
          <t>EE173</t>
        </is>
      </c>
      <c r="C341" s="38" t="inlineStr">
        <is>
          <t>No</t>
        </is>
      </c>
      <c r="D341" s="39" t="inlineStr">
        <is>
          <t>6554206</t>
        </is>
      </c>
      <c r="E341" s="38" t="inlineStr">
        <is>
          <t>RTR - EFORM SEPARATIONS TRAINING</t>
        </is>
      </c>
      <c r="F341" s="44" t="n">
        <v>45385</v>
      </c>
      <c r="G341" s="40" t="n">
        <v>45389</v>
      </c>
      <c r="H341" s="44" t="n">
        <v>45389</v>
      </c>
      <c r="I341" s="41" t="n">
        <v>2</v>
      </c>
      <c r="J341" s="42" t="n">
        <v>2</v>
      </c>
      <c r="K341" s="38" t="inlineStr">
        <is>
          <t>TR 4</t>
        </is>
      </c>
      <c r="L341" s="38" t="inlineStr">
        <is>
          <t>TR 5</t>
        </is>
      </c>
      <c r="M341" s="38" t="inlineStr">
        <is>
          <t>--</t>
        </is>
      </c>
      <c r="N341" s="38" t="inlineStr">
        <is>
          <t>--</t>
        </is>
      </c>
      <c r="O341" s="38" t="inlineStr">
        <is>
          <t>JJH</t>
        </is>
      </c>
      <c r="Q341" s="62">
        <f>IF(C341="Yes", 1, IF(C341="no", 0, IF(C341= "tardy", SUM(J341/I341),"")))</f>
        <v/>
      </c>
      <c r="R341" s="62">
        <f>LEFT(Train_Log[[#This Row],[COURSE NAME:]],FIND(" - ", Train_Log[[#This Row],[COURSE NAME:]]) -1)</f>
        <v/>
      </c>
      <c r="S341" s="62">
        <f>MID(Train_Log[[#This Row],[COURSE NAME:]],FIND(" - ", Train_Log[[#This Row],[COURSE NAME:]]), 13)</f>
        <v/>
      </c>
      <c r="T341" s="62">
        <f>MID(E341, FIND(" - ", E341) + 3, LEN(E341)) &amp; "_" &amp; TEXT(F341, "yyyymmdd") &amp; "_" &amp; TEXT(H341, "yyyymmdd")</f>
        <v/>
      </c>
    </row>
    <row r="342">
      <c r="B342" s="38" t="inlineStr">
        <is>
          <t>EE30</t>
        </is>
      </c>
      <c r="C342" s="38" t="inlineStr">
        <is>
          <t>No</t>
        </is>
      </c>
      <c r="D342" t="inlineStr">
        <is>
          <t>6471559</t>
        </is>
      </c>
      <c r="E342" s="38" t="inlineStr">
        <is>
          <t>PHONES - LWOP</t>
        </is>
      </c>
      <c r="F342" s="40" t="n">
        <v>45681</v>
      </c>
      <c r="G342" s="40" t="n">
        <v>45685</v>
      </c>
      <c r="H342" s="40" t="n">
        <v>45685</v>
      </c>
      <c r="I342" s="41" t="n">
        <v>4</v>
      </c>
      <c r="J342" s="41" t="n">
        <v>4</v>
      </c>
      <c r="K342" s="38" t="inlineStr">
        <is>
          <t>TR 7</t>
        </is>
      </c>
      <c r="L342" s="38" t="inlineStr">
        <is>
          <t>TR 10</t>
        </is>
      </c>
      <c r="M342" s="38" t="inlineStr">
        <is>
          <t>--</t>
        </is>
      </c>
      <c r="N342" s="38" t="inlineStr">
        <is>
          <t>--</t>
        </is>
      </c>
      <c r="O342" s="38" t="inlineStr">
        <is>
          <t>JJH</t>
        </is>
      </c>
      <c r="Q342" s="62">
        <f>IF(C342="Yes", 1, IF(C342="no", 0, IF(C342= "tardy", SUM(J342/I342),"")))</f>
        <v/>
      </c>
      <c r="R342" s="62">
        <f>LEFT(Train_Log[[#This Row],[COURSE NAME:]],FIND(" - ", Train_Log[[#This Row],[COURSE NAME:]]) -1)</f>
        <v/>
      </c>
      <c r="S342" s="62">
        <f>MID(Train_Log[[#This Row],[COURSE NAME:]],FIND(" - ", Train_Log[[#This Row],[COURSE NAME:]]), 13)</f>
        <v/>
      </c>
      <c r="T342" s="62">
        <f>MID(E342, FIND(" - ", E342) + 3, LEN(E342)) &amp; "_" &amp; TEXT(F342, "yyyymmdd") &amp; "_" &amp; TEXT(H342, "yyyymmdd")</f>
        <v/>
      </c>
    </row>
    <row r="343">
      <c r="B343" s="38" t="inlineStr">
        <is>
          <t>EE36</t>
        </is>
      </c>
      <c r="C343" s="38" t="inlineStr">
        <is>
          <t>No</t>
        </is>
      </c>
      <c r="D343" t="inlineStr">
        <is>
          <t>5427114</t>
        </is>
      </c>
      <c r="E343" s="38" t="inlineStr">
        <is>
          <t>LWOP - HCES SU FACILITATION TRAINING</t>
        </is>
      </c>
      <c r="F343" s="40" t="n">
        <v>45732</v>
      </c>
      <c r="G343" s="40" t="n">
        <v>45732</v>
      </c>
      <c r="H343" s="40" t="n">
        <v>45732</v>
      </c>
      <c r="I343" s="41" t="n">
        <v>8</v>
      </c>
      <c r="J343" s="41" t="n">
        <v>8</v>
      </c>
      <c r="K343" s="38" t="inlineStr">
        <is>
          <t>TR 3</t>
        </is>
      </c>
      <c r="L343" s="38" t="inlineStr">
        <is>
          <t>TR 9</t>
        </is>
      </c>
      <c r="M343" s="38" t="inlineStr">
        <is>
          <t>--</t>
        </is>
      </c>
      <c r="N343" s="38" t="inlineStr">
        <is>
          <t>--</t>
        </is>
      </c>
      <c r="O343" s="38" t="inlineStr">
        <is>
          <t>JJH</t>
        </is>
      </c>
      <c r="P343" s="50" t="n"/>
      <c r="Q343" s="62">
        <f>IF(C343="Yes", 1, IF(C343="no", 0, IF(C343= "tardy", SUM(J343/I343),"")))</f>
        <v/>
      </c>
      <c r="R343" s="62">
        <f>LEFT(Train_Log[[#This Row],[COURSE NAME:]],FIND(" - ", Train_Log[[#This Row],[COURSE NAME:]]) -1)</f>
        <v/>
      </c>
      <c r="S343" s="62">
        <f>MID(Train_Log[[#This Row],[COURSE NAME:]],FIND(" - ", Train_Log[[#This Row],[COURSE NAME:]]), 13)</f>
        <v/>
      </c>
      <c r="T343" s="62">
        <f>MID(E343, FIND(" - ", E343) + 3, LEN(E343)) &amp; "_" &amp; TEXT(F343, "yyyymmdd") &amp; "_" &amp; TEXT(H343, "yyyymmdd")</f>
        <v/>
      </c>
    </row>
    <row r="344">
      <c r="B344" s="38" t="inlineStr">
        <is>
          <t>EE43</t>
        </is>
      </c>
      <c r="C344" s="38" t="inlineStr">
        <is>
          <t>No</t>
        </is>
      </c>
      <c r="D344" s="39" t="inlineStr">
        <is>
          <t>5593530</t>
        </is>
      </c>
      <c r="E344" s="38" t="inlineStr">
        <is>
          <t>OPTIONAL RETIREMENTS - MAILBUILD</t>
        </is>
      </c>
      <c r="F344" s="40" t="n">
        <v>45594</v>
      </c>
      <c r="G344" s="40" t="n">
        <v>45594</v>
      </c>
      <c r="H344" s="40" t="n">
        <v>45594</v>
      </c>
      <c r="I344" s="41" t="n">
        <v>4</v>
      </c>
      <c r="J344" s="41" t="n">
        <v>4</v>
      </c>
      <c r="K344" s="38" t="inlineStr">
        <is>
          <t>TR 10</t>
        </is>
      </c>
      <c r="L344" s="38" t="inlineStr">
        <is>
          <t>TR 1</t>
        </is>
      </c>
      <c r="M344" s="38" t="inlineStr">
        <is>
          <t>--</t>
        </is>
      </c>
      <c r="N344" s="38" t="inlineStr">
        <is>
          <t>--</t>
        </is>
      </c>
      <c r="O344" s="38" t="inlineStr">
        <is>
          <t>JJH</t>
        </is>
      </c>
      <c r="P344" s="44" t="n"/>
      <c r="Q344" s="62">
        <f>IF(C344="Yes", 1, IF(C344="no", 0, IF(C344= "tardy", SUM(J344/I344),"")))</f>
        <v/>
      </c>
      <c r="R344" s="62">
        <f>LEFT(Train_Log[[#This Row],[COURSE NAME:]],FIND(" - ", Train_Log[[#This Row],[COURSE NAME:]]) -1)</f>
        <v/>
      </c>
      <c r="S344" s="62">
        <f>MID(Train_Log[[#This Row],[COURSE NAME:]],FIND(" - ", Train_Log[[#This Row],[COURSE NAME:]]), 13)</f>
        <v/>
      </c>
      <c r="T344" s="62">
        <f>MID(E344, FIND(" - ", E344) + 3, LEN(E344)) &amp; "_" &amp; TEXT(F344, "yyyymmdd") &amp; "_" &amp; TEXT(H344, "yyyymmdd")</f>
        <v/>
      </c>
    </row>
    <row r="345">
      <c r="B345" s="38" t="inlineStr">
        <is>
          <t>EE92</t>
        </is>
      </c>
      <c r="C345" s="38" t="inlineStr">
        <is>
          <t>No</t>
        </is>
      </c>
      <c r="D345" s="46" t="inlineStr">
        <is>
          <t>5938859</t>
        </is>
      </c>
      <c r="E345" s="38" t="inlineStr">
        <is>
          <t>PHONES - BENEFITS</t>
        </is>
      </c>
      <c r="F345" s="53" t="n">
        <v>45795</v>
      </c>
      <c r="G345" s="53" t="n">
        <v>45795</v>
      </c>
      <c r="H345" s="53" t="n">
        <v>45795</v>
      </c>
      <c r="I345" s="54" t="n">
        <v>4</v>
      </c>
      <c r="J345" s="54" t="n">
        <v>4</v>
      </c>
      <c r="K345" s="45" t="inlineStr">
        <is>
          <t>TR 9</t>
        </is>
      </c>
      <c r="L345" s="45" t="inlineStr">
        <is>
          <t>TR 9</t>
        </is>
      </c>
      <c r="M345" s="38" t="inlineStr">
        <is>
          <t>--</t>
        </is>
      </c>
      <c r="N345" s="38" t="inlineStr">
        <is>
          <t>--</t>
        </is>
      </c>
      <c r="O345" s="38" t="inlineStr">
        <is>
          <t>JJH</t>
        </is>
      </c>
      <c r="P345" s="53" t="n"/>
      <c r="Q345" s="61">
        <f>IF(C345="Yes", 1, IF(C345="no", 0, IF(C345= "tardy", SUM(J345/I345),"")))</f>
        <v/>
      </c>
      <c r="R345" s="61">
        <f>LEFT(Train_Log[[#This Row],[COURSE NAME:]],FIND(" - ", Train_Log[[#This Row],[COURSE NAME:]]) -1)</f>
        <v/>
      </c>
      <c r="S345" s="61">
        <f>MID(Train_Log[[#This Row],[COURSE NAME:]],FIND(" - ", Train_Log[[#This Row],[COURSE NAME:]]), 13)</f>
        <v/>
      </c>
      <c r="T345" s="61">
        <f>MID(E345, FIND(" - ", E345) + 3, LEN(E345)) &amp; "_" &amp; TEXT(F345, "yyyymmdd") &amp; "_" &amp; TEXT(H345, "yyyymmdd")</f>
        <v/>
      </c>
    </row>
    <row r="346">
      <c r="B346" s="38" t="inlineStr">
        <is>
          <t>EE168</t>
        </is>
      </c>
      <c r="C346" s="38" t="inlineStr">
        <is>
          <t>No</t>
        </is>
      </c>
      <c r="D346" t="inlineStr">
        <is>
          <t>4446319</t>
        </is>
      </c>
      <c r="E346" s="38" t="inlineStr">
        <is>
          <t>OPTIONAL RETIREMENTS - MAILBUILD</t>
        </is>
      </c>
      <c r="F346" s="40" t="n">
        <v>45717</v>
      </c>
      <c r="G346" s="40" t="n">
        <v>45721</v>
      </c>
      <c r="H346" s="40" t="n">
        <v>45721</v>
      </c>
      <c r="I346" s="41" t="n">
        <v>4</v>
      </c>
      <c r="J346" s="41" t="n">
        <v>4</v>
      </c>
      <c r="K346" s="38" t="inlineStr">
        <is>
          <t>TR 8</t>
        </is>
      </c>
      <c r="L346" s="38" t="inlineStr">
        <is>
          <t>TR 3</t>
        </is>
      </c>
      <c r="M346" s="38" t="inlineStr">
        <is>
          <t>--</t>
        </is>
      </c>
      <c r="N346" s="38" t="inlineStr">
        <is>
          <t>--</t>
        </is>
      </c>
      <c r="O346" s="38" t="inlineStr">
        <is>
          <t>JJH</t>
        </is>
      </c>
      <c r="Q346" s="62">
        <f>IF(C346="Yes", 1, IF(C346="no", 0, IF(C346= "tardy", SUM(J346/I346),"")))</f>
        <v/>
      </c>
      <c r="R346" s="62">
        <f>LEFT(Train_Log[[#This Row],[COURSE NAME:]],FIND(" - ", Train_Log[[#This Row],[COURSE NAME:]]) -1)</f>
        <v/>
      </c>
      <c r="S346" s="62">
        <f>MID(Train_Log[[#This Row],[COURSE NAME:]],FIND(" - ", Train_Log[[#This Row],[COURSE NAME:]]), 13)</f>
        <v/>
      </c>
      <c r="T346" s="62">
        <f>MID(E346, FIND(" - ", E346) + 3, LEN(E346)) &amp; "_" &amp; TEXT(F346, "yyyymmdd") &amp; "_" &amp; TEXT(H346, "yyyymmdd")</f>
        <v/>
      </c>
    </row>
    <row r="347">
      <c r="B347" s="38" t="inlineStr">
        <is>
          <t>EE22</t>
        </is>
      </c>
      <c r="C347" s="38" t="inlineStr">
        <is>
          <t>tardy</t>
        </is>
      </c>
      <c r="D347" t="inlineStr">
        <is>
          <t>6354032</t>
        </is>
      </c>
      <c r="E347" s="38" t="inlineStr">
        <is>
          <t>PHONES - BENEFITS</t>
        </is>
      </c>
      <c r="F347" s="40" t="n">
        <v>45524</v>
      </c>
      <c r="G347" s="40" t="n">
        <v>45524</v>
      </c>
      <c r="H347" s="40" t="n">
        <v>45524</v>
      </c>
      <c r="I347" s="41" t="n">
        <v>2</v>
      </c>
      <c r="J347" s="41" t="n">
        <v>1.43</v>
      </c>
      <c r="K347" s="38" t="inlineStr">
        <is>
          <t>TR 3</t>
        </is>
      </c>
      <c r="L347" s="38" t="inlineStr">
        <is>
          <t>TR 8</t>
        </is>
      </c>
      <c r="M347" s="38" t="inlineStr">
        <is>
          <t>--</t>
        </is>
      </c>
      <c r="N347" s="38" t="inlineStr">
        <is>
          <t>--</t>
        </is>
      </c>
      <c r="O347" s="38" t="inlineStr">
        <is>
          <t>JJH</t>
        </is>
      </c>
      <c r="P347" s="59" t="n"/>
      <c r="Q347" s="62">
        <f>IF(C347="Yes", 1, IF(C347="no", 0, IF(C347= "tardy", SUM(J347/I347),"")))</f>
        <v/>
      </c>
      <c r="R347" s="62">
        <f>LEFT(Train_Log[[#This Row],[COURSE NAME:]],FIND(" - ", Train_Log[[#This Row],[COURSE NAME:]]) -1)</f>
        <v/>
      </c>
      <c r="S347" s="62">
        <f>MID(Train_Log[[#This Row],[COURSE NAME:]],FIND(" - ", Train_Log[[#This Row],[COURSE NAME:]]), 13)</f>
        <v/>
      </c>
      <c r="T347" s="62">
        <f>MID(E347, FIND(" - ", E347) + 3, LEN(E347)) &amp; "_" &amp; TEXT(F347, "yyyymmdd") &amp; "_" &amp; TEXT(H347, "yyyymmdd")</f>
        <v/>
      </c>
    </row>
    <row r="348">
      <c r="B348" s="38" t="inlineStr">
        <is>
          <t>EE145</t>
        </is>
      </c>
      <c r="C348" s="38" t="inlineStr">
        <is>
          <t>No</t>
        </is>
      </c>
      <c r="D348" t="inlineStr">
        <is>
          <t>6499337</t>
        </is>
      </c>
      <c r="E348" s="38" t="inlineStr">
        <is>
          <t>OPTIONAL RETIREMENTS - MAILBUILD</t>
        </is>
      </c>
      <c r="F348" s="40" t="n">
        <v>45822</v>
      </c>
      <c r="G348" s="40" t="n">
        <v>45822</v>
      </c>
      <c r="H348" s="40" t="n">
        <v>45822</v>
      </c>
      <c r="I348" s="41" t="n">
        <v>3</v>
      </c>
      <c r="J348" s="41" t="n">
        <v>3</v>
      </c>
      <c r="K348" s="38" t="inlineStr">
        <is>
          <t>TR 9</t>
        </is>
      </c>
      <c r="L348" s="38" t="inlineStr">
        <is>
          <t>TR 6</t>
        </is>
      </c>
      <c r="M348" s="38" t="inlineStr">
        <is>
          <t>--</t>
        </is>
      </c>
      <c r="N348" s="38" t="inlineStr">
        <is>
          <t>--</t>
        </is>
      </c>
      <c r="O348" s="38" t="inlineStr">
        <is>
          <t>JJH</t>
        </is>
      </c>
      <c r="P348" s="59" t="n"/>
      <c r="Q348" s="62">
        <f>IF(C348="Yes", 1, IF(C348="no", 0, IF(C348= "tardy", SUM(J348/I348),"")))</f>
        <v/>
      </c>
      <c r="R348" s="62">
        <f>LEFT(Train_Log[[#This Row],[COURSE NAME:]],FIND(" - ", Train_Log[[#This Row],[COURSE NAME:]]) -1)</f>
        <v/>
      </c>
      <c r="S348" s="62">
        <f>MID(Train_Log[[#This Row],[COURSE NAME:]],FIND(" - ", Train_Log[[#This Row],[COURSE NAME:]]), 13)</f>
        <v/>
      </c>
      <c r="T348" s="62">
        <f>MID(E348, FIND(" - ", E348) + 3, LEN(E348)) &amp; "_" &amp; TEXT(F348, "yyyymmdd") &amp; "_" &amp; TEXT(H348, "yyyymmdd")</f>
        <v/>
      </c>
    </row>
    <row r="349">
      <c r="B349" s="38" t="inlineStr">
        <is>
          <t>EE139</t>
        </is>
      </c>
      <c r="C349" s="38" t="inlineStr">
        <is>
          <t>No</t>
        </is>
      </c>
      <c r="D349" t="inlineStr">
        <is>
          <t>6854145</t>
        </is>
      </c>
      <c r="E349" s="38" t="inlineStr">
        <is>
          <t>PHONES - BENEFITS</t>
        </is>
      </c>
      <c r="F349" s="40" t="n">
        <v>45750</v>
      </c>
      <c r="G349" s="40" t="n">
        <v>45752</v>
      </c>
      <c r="H349" s="40" t="n">
        <v>45752</v>
      </c>
      <c r="I349" s="41" t="n">
        <v>4</v>
      </c>
      <c r="J349" s="41" t="n">
        <v>4</v>
      </c>
      <c r="K349" s="38" t="inlineStr">
        <is>
          <t>TR 2</t>
        </is>
      </c>
      <c r="L349" s="38" t="inlineStr">
        <is>
          <t>--</t>
        </is>
      </c>
      <c r="M349" s="38" t="inlineStr">
        <is>
          <t>--</t>
        </is>
      </c>
      <c r="N349" s="38" t="inlineStr">
        <is>
          <t>--</t>
        </is>
      </c>
      <c r="O349" s="38" t="inlineStr">
        <is>
          <t>JJH</t>
        </is>
      </c>
      <c r="P349" s="59" t="n"/>
      <c r="Q349" s="62">
        <f>IF(C349="Yes", 1, IF(C349="no", 0, IF(C349= "tardy", SUM(J349/I349),"")))</f>
        <v/>
      </c>
      <c r="R349" s="62">
        <f>LEFT(Train_Log[[#This Row],[COURSE NAME:]],FIND(" - ", Train_Log[[#This Row],[COURSE NAME:]]) -1)</f>
        <v/>
      </c>
      <c r="S349" s="62">
        <f>MID(Train_Log[[#This Row],[COURSE NAME:]],FIND(" - ", Train_Log[[#This Row],[COURSE NAME:]]), 13)</f>
        <v/>
      </c>
      <c r="T349" s="62">
        <f>MID(E349, FIND(" - ", E349) + 3, LEN(E349)) &amp; "_" &amp; TEXT(F349, "yyyymmdd") &amp; "_" &amp; TEXT(H349, "yyyymmdd")</f>
        <v/>
      </c>
    </row>
    <row r="350">
      <c r="B350" s="38" t="inlineStr">
        <is>
          <t>EE64</t>
        </is>
      </c>
      <c r="C350" s="38" t="inlineStr">
        <is>
          <t>No</t>
        </is>
      </c>
      <c r="D350" t="inlineStr">
        <is>
          <t>4192201</t>
        </is>
      </c>
      <c r="E350" s="38" t="inlineStr">
        <is>
          <t>RTR - EFORM SEPARATIONS TRAINING</t>
        </is>
      </c>
      <c r="F350" s="40" t="n">
        <v>45332</v>
      </c>
      <c r="G350" s="40" t="n">
        <v>45333</v>
      </c>
      <c r="H350" s="40" t="n">
        <v>45333</v>
      </c>
      <c r="I350" s="41" t="n">
        <v>2</v>
      </c>
      <c r="J350" s="41" t="n">
        <v>2</v>
      </c>
      <c r="K350" s="38" t="inlineStr">
        <is>
          <t>TR 8</t>
        </is>
      </c>
      <c r="L350" s="38" t="inlineStr">
        <is>
          <t>TR 2</t>
        </is>
      </c>
      <c r="M350" s="38" t="inlineStr">
        <is>
          <t>--</t>
        </is>
      </c>
      <c r="N350" s="38" t="inlineStr">
        <is>
          <t>--</t>
        </is>
      </c>
      <c r="O350" s="38" t="inlineStr">
        <is>
          <t>JJH</t>
        </is>
      </c>
      <c r="P350" s="59" t="n"/>
      <c r="Q350" s="62">
        <f>IF(C350="Yes", 1, IF(C350="no", 0, IF(C350= "tardy", SUM(J350/I350),"")))</f>
        <v/>
      </c>
      <c r="R350" s="62">
        <f>LEFT(Train_Log[[#This Row],[COURSE NAME:]],FIND(" - ", Train_Log[[#This Row],[COURSE NAME:]]) -1)</f>
        <v/>
      </c>
      <c r="S350" s="62">
        <f>MID(Train_Log[[#This Row],[COURSE NAME:]],FIND(" - ", Train_Log[[#This Row],[COURSE NAME:]]), 13)</f>
        <v/>
      </c>
      <c r="T350" s="62">
        <f>MID(E350, FIND(" - ", E350) + 3, LEN(E350)) &amp; "_" &amp; TEXT(F350, "yyyymmdd") &amp; "_" &amp; TEXT(H350, "yyyymmdd")</f>
        <v/>
      </c>
    </row>
    <row r="351">
      <c r="B351" s="38" t="inlineStr">
        <is>
          <t>EE61</t>
        </is>
      </c>
      <c r="C351" s="38" t="inlineStr">
        <is>
          <t>No</t>
        </is>
      </c>
      <c r="D351" s="39" t="inlineStr">
        <is>
          <t>4806516</t>
        </is>
      </c>
      <c r="E351" s="38" t="inlineStr">
        <is>
          <t>SUPPORT - TRAINING - PTSP TRAINING</t>
        </is>
      </c>
      <c r="F351" s="44" t="n">
        <v>45658</v>
      </c>
      <c r="G351" s="40" t="n">
        <v>45662</v>
      </c>
      <c r="H351" s="44" t="n">
        <v>45662</v>
      </c>
      <c r="I351" s="41" t="n">
        <v>4</v>
      </c>
      <c r="J351" s="42" t="n">
        <v>4</v>
      </c>
      <c r="K351" s="38" t="inlineStr">
        <is>
          <t>TR 3</t>
        </is>
      </c>
      <c r="L351" s="38" t="inlineStr">
        <is>
          <t>TR 10</t>
        </is>
      </c>
      <c r="M351" s="38" t="inlineStr">
        <is>
          <t>--</t>
        </is>
      </c>
      <c r="N351" s="38" t="inlineStr">
        <is>
          <t>--</t>
        </is>
      </c>
      <c r="O351" s="38" t="inlineStr">
        <is>
          <t>JJH</t>
        </is>
      </c>
      <c r="Q351" s="62">
        <f>IF(C351="Yes", 1, IF(C351="no", 0, IF(C351= "tardy", SUM(J351/I351),"")))</f>
        <v/>
      </c>
      <c r="R351" s="62">
        <f>LEFT(Train_Log[[#This Row],[COURSE NAME:]],FIND(" - ", Train_Log[[#This Row],[COURSE NAME:]]) -1)</f>
        <v/>
      </c>
      <c r="S351" s="62">
        <f>MID(Train_Log[[#This Row],[COURSE NAME:]],FIND(" - ", Train_Log[[#This Row],[COURSE NAME:]]), 13)</f>
        <v/>
      </c>
      <c r="T351" s="62">
        <f>MID(E351, FIND(" - ", E351) + 3, LEN(E351)) &amp; "_" &amp; TEXT(F351, "yyyymmdd") &amp; "_" &amp; TEXT(H351, "yyyymmdd")</f>
        <v/>
      </c>
    </row>
    <row r="352">
      <c r="B352" s="38" t="inlineStr">
        <is>
          <t>EE36</t>
        </is>
      </c>
      <c r="C352" s="38" t="inlineStr">
        <is>
          <t>No</t>
        </is>
      </c>
      <c r="D352" s="39" t="inlineStr">
        <is>
          <t>5427114</t>
        </is>
      </c>
      <c r="E352" s="38" t="inlineStr">
        <is>
          <t>SUPPORT - TRAINING - PTSP TRAINING</t>
        </is>
      </c>
      <c r="F352" s="44" t="n">
        <v>45510</v>
      </c>
      <c r="G352" s="40" t="n">
        <v>45510</v>
      </c>
      <c r="H352" s="44" t="n">
        <v>45510</v>
      </c>
      <c r="I352" s="41" t="n">
        <v>8</v>
      </c>
      <c r="J352" s="42" t="n">
        <v>8</v>
      </c>
      <c r="K352" s="38" t="inlineStr">
        <is>
          <t>TR 5</t>
        </is>
      </c>
      <c r="L352" s="38" t="inlineStr">
        <is>
          <t>TR 10</t>
        </is>
      </c>
      <c r="M352" s="38" t="inlineStr">
        <is>
          <t>--</t>
        </is>
      </c>
      <c r="N352" s="38" t="inlineStr">
        <is>
          <t>--</t>
        </is>
      </c>
      <c r="O352" s="38" t="inlineStr">
        <is>
          <t>JJH</t>
        </is>
      </c>
      <c r="Q352" s="62">
        <f>IF(C352="Yes", 1, IF(C352="no", 0, IF(C352= "tardy", SUM(J352/I352),"")))</f>
        <v/>
      </c>
      <c r="R352" s="62">
        <f>LEFT(Train_Log[[#This Row],[COURSE NAME:]],FIND(" - ", Train_Log[[#This Row],[COURSE NAME:]]) -1)</f>
        <v/>
      </c>
      <c r="S352" s="62">
        <f>MID(Train_Log[[#This Row],[COURSE NAME:]],FIND(" - ", Train_Log[[#This Row],[COURSE NAME:]]), 13)</f>
        <v/>
      </c>
      <c r="T352" s="62">
        <f>MID(E352, FIND(" - ", E352) + 3, LEN(E352)) &amp; "_" &amp; TEXT(F352, "yyyymmdd") &amp; "_" &amp; TEXT(H352, "yyyymmdd")</f>
        <v/>
      </c>
    </row>
    <row r="353">
      <c r="B353" s="38" t="inlineStr">
        <is>
          <t>EE138</t>
        </is>
      </c>
      <c r="C353" s="38" t="inlineStr">
        <is>
          <t>No</t>
        </is>
      </c>
      <c r="D353" s="39" t="inlineStr">
        <is>
          <t>4671013</t>
        </is>
      </c>
      <c r="E353" s="38" t="inlineStr">
        <is>
          <t>PHONES - LWOP</t>
        </is>
      </c>
      <c r="F353" s="44" t="n">
        <v>45630</v>
      </c>
      <c r="G353" s="40" t="n">
        <v>45634</v>
      </c>
      <c r="H353" s="44" t="n">
        <v>45634</v>
      </c>
      <c r="I353" s="41" t="n">
        <v>8</v>
      </c>
      <c r="J353" s="42" t="n">
        <v>8</v>
      </c>
      <c r="K353" s="38" t="inlineStr">
        <is>
          <t>TR 5</t>
        </is>
      </c>
      <c r="L353" s="38" t="inlineStr">
        <is>
          <t>TR 9</t>
        </is>
      </c>
      <c r="M353" s="38" t="inlineStr">
        <is>
          <t>--</t>
        </is>
      </c>
      <c r="N353" s="38" t="inlineStr">
        <is>
          <t>--</t>
        </is>
      </c>
      <c r="O353" s="38" t="inlineStr">
        <is>
          <t>JJH</t>
        </is>
      </c>
      <c r="Q353" s="62">
        <f>IF(C353="Yes", 1, IF(C353="no", 0, IF(C353= "tardy", SUM(J353/I353),"")))</f>
        <v/>
      </c>
      <c r="R353" s="62">
        <f>LEFT(Train_Log[[#This Row],[COURSE NAME:]],FIND(" - ", Train_Log[[#This Row],[COURSE NAME:]]) -1)</f>
        <v/>
      </c>
      <c r="S353" s="62">
        <f>MID(Train_Log[[#This Row],[COURSE NAME:]],FIND(" - ", Train_Log[[#This Row],[COURSE NAME:]]), 13)</f>
        <v/>
      </c>
      <c r="T353" s="62">
        <f>MID(E353, FIND(" - ", E353) + 3, LEN(E353)) &amp; "_" &amp; TEXT(F353, "yyyymmdd") &amp; "_" &amp; TEXT(H353, "yyyymmdd")</f>
        <v/>
      </c>
    </row>
    <row r="354">
      <c r="B354" s="38" t="inlineStr">
        <is>
          <t>EE174</t>
        </is>
      </c>
      <c r="C354" s="38" t="inlineStr">
        <is>
          <t>No</t>
        </is>
      </c>
      <c r="D354" s="39" t="inlineStr">
        <is>
          <t>4834293</t>
        </is>
      </c>
      <c r="E354" s="38" t="inlineStr">
        <is>
          <t>PHONES - EMPLOYMENT VERIFICATION</t>
        </is>
      </c>
      <c r="F354" s="111" t="n">
        <v>45437</v>
      </c>
      <c r="G354" s="40" t="n">
        <v>45438</v>
      </c>
      <c r="H354" s="111" t="n">
        <v>45438</v>
      </c>
      <c r="I354" s="41" t="n">
        <v>3</v>
      </c>
      <c r="J354" s="42" t="n">
        <v>3</v>
      </c>
      <c r="K354" s="38" t="inlineStr">
        <is>
          <t>TR 3</t>
        </is>
      </c>
      <c r="L354" s="38" t="inlineStr">
        <is>
          <t>TR 3</t>
        </is>
      </c>
      <c r="M354" s="38" t="inlineStr">
        <is>
          <t>--</t>
        </is>
      </c>
      <c r="N354" s="38" t="inlineStr">
        <is>
          <t>--</t>
        </is>
      </c>
      <c r="O354" s="38" t="inlineStr">
        <is>
          <t>JJH</t>
        </is>
      </c>
      <c r="Q354" s="62">
        <f>IF(C354="Yes", 1, IF(C354="no", 0, IF(C354= "tardy", SUM(J354/I354),"")))</f>
        <v/>
      </c>
      <c r="R354" s="62">
        <f>LEFT(Train_Log[[#This Row],[COURSE NAME:]],FIND(" - ", Train_Log[[#This Row],[COURSE NAME:]]) -1)</f>
        <v/>
      </c>
      <c r="S354" s="62">
        <f>MID(Train_Log[[#This Row],[COURSE NAME:]],FIND(" - ", Train_Log[[#This Row],[COURSE NAME:]]), 13)</f>
        <v/>
      </c>
      <c r="T354" s="62">
        <f>MID(E354, FIND(" - ", E354) + 3, LEN(E354)) &amp; "_" &amp; TEXT(F354, "yyyymmdd") &amp; "_" &amp; TEXT(H354, "yyyymmdd")</f>
        <v/>
      </c>
    </row>
    <row r="355">
      <c r="B355" s="38" t="inlineStr">
        <is>
          <t>EE64</t>
        </is>
      </c>
      <c r="C355" s="38" t="inlineStr">
        <is>
          <t>No</t>
        </is>
      </c>
      <c r="D355" s="39" t="inlineStr">
        <is>
          <t>4192201</t>
        </is>
      </c>
      <c r="E355" s="38" t="inlineStr">
        <is>
          <t>PHONES - LWOP</t>
        </is>
      </c>
      <c r="F355" s="111" t="n">
        <v>45628</v>
      </c>
      <c r="G355" s="40" t="n">
        <v>45628</v>
      </c>
      <c r="H355" s="111" t="n">
        <v>45628</v>
      </c>
      <c r="I355" s="41" t="n">
        <v>4</v>
      </c>
      <c r="J355" s="42" t="n">
        <v>4</v>
      </c>
      <c r="K355" s="38" t="inlineStr">
        <is>
          <t>TR 8</t>
        </is>
      </c>
      <c r="L355" s="38" t="inlineStr">
        <is>
          <t>TR 3</t>
        </is>
      </c>
      <c r="M355" s="38" t="inlineStr">
        <is>
          <t>--</t>
        </is>
      </c>
      <c r="N355" s="38" t="inlineStr">
        <is>
          <t>--</t>
        </is>
      </c>
      <c r="O355" s="38" t="inlineStr">
        <is>
          <t>JJH</t>
        </is>
      </c>
      <c r="Q355" s="62">
        <f>IF(C355="Yes", 1, IF(C355="no", 0, IF(C355= "tardy", SUM(J355/I355),"")))</f>
        <v/>
      </c>
      <c r="R355" s="62">
        <f>LEFT(Train_Log[[#This Row],[COURSE NAME:]],FIND(" - ", Train_Log[[#This Row],[COURSE NAME:]]) -1)</f>
        <v/>
      </c>
      <c r="S355" s="62">
        <f>MID(Train_Log[[#This Row],[COURSE NAME:]],FIND(" - ", Train_Log[[#This Row],[COURSE NAME:]]), 13)</f>
        <v/>
      </c>
      <c r="T355" s="62">
        <f>MID(E355, FIND(" - ", E355) + 3, LEN(E355)) &amp; "_" &amp; TEXT(F355, "yyyymmdd") &amp; "_" &amp; TEXT(H355, "yyyymmdd")</f>
        <v/>
      </c>
    </row>
    <row r="356">
      <c r="B356" s="38" t="inlineStr">
        <is>
          <t>EE148</t>
        </is>
      </c>
      <c r="C356" s="38" t="inlineStr">
        <is>
          <t>No</t>
        </is>
      </c>
      <c r="D356" s="39" t="inlineStr">
        <is>
          <t>5054507</t>
        </is>
      </c>
      <c r="E356" s="38" t="inlineStr">
        <is>
          <t>RTR - EFORM SEPARATIONS TRAINING</t>
        </is>
      </c>
      <c r="F356" s="111" t="n">
        <v>45723</v>
      </c>
      <c r="G356" s="40" t="n">
        <v>45724</v>
      </c>
      <c r="H356" s="111" t="n">
        <v>45724</v>
      </c>
      <c r="I356" s="41" t="n">
        <v>2</v>
      </c>
      <c r="J356" s="42" t="n">
        <v>2</v>
      </c>
      <c r="K356" s="38" t="inlineStr">
        <is>
          <t>TR 7</t>
        </is>
      </c>
      <c r="L356" s="38" t="inlineStr">
        <is>
          <t>TR 9</t>
        </is>
      </c>
      <c r="M356" s="38" t="inlineStr">
        <is>
          <t>--</t>
        </is>
      </c>
      <c r="N356" s="38" t="inlineStr">
        <is>
          <t>--</t>
        </is>
      </c>
      <c r="O356" s="38" t="inlineStr">
        <is>
          <t>JJH</t>
        </is>
      </c>
      <c r="Q356" s="62">
        <f>IF(C356="Yes", 1, IF(C356="no", 0, IF(C356= "tardy", SUM(J356/I356),"")))</f>
        <v/>
      </c>
      <c r="R356" s="62">
        <f>LEFT(Train_Log[[#This Row],[COURSE NAME:]],FIND(" - ", Train_Log[[#This Row],[COURSE NAME:]]) -1)</f>
        <v/>
      </c>
      <c r="S356" s="62">
        <f>MID(Train_Log[[#This Row],[COURSE NAME:]],FIND(" - ", Train_Log[[#This Row],[COURSE NAME:]]), 13)</f>
        <v/>
      </c>
      <c r="T356" s="62">
        <f>MID(E356, FIND(" - ", E356) + 3, LEN(E356)) &amp; "_" &amp; TEXT(F356, "yyyymmdd") &amp; "_" &amp; TEXT(H356, "yyyymmdd")</f>
        <v/>
      </c>
    </row>
    <row r="357">
      <c r="B357" s="38" t="inlineStr">
        <is>
          <t>EE72</t>
        </is>
      </c>
      <c r="C357" s="38" t="inlineStr">
        <is>
          <t>No</t>
        </is>
      </c>
      <c r="D357" s="39" t="inlineStr">
        <is>
          <t>5165905</t>
        </is>
      </c>
      <c r="E357" s="38" t="inlineStr">
        <is>
          <t>LWOP - HCES SUPERUSER TRAINING</t>
        </is>
      </c>
      <c r="F357" s="111" t="n">
        <v>45764</v>
      </c>
      <c r="G357" s="40" t="n">
        <v>45765</v>
      </c>
      <c r="H357" s="111" t="n">
        <v>45765</v>
      </c>
      <c r="I357" s="41" t="n">
        <v>2</v>
      </c>
      <c r="J357" s="42" t="n">
        <v>2</v>
      </c>
      <c r="K357" s="38" t="inlineStr">
        <is>
          <t>TR 2</t>
        </is>
      </c>
      <c r="L357" s="38" t="inlineStr">
        <is>
          <t>TR 8</t>
        </is>
      </c>
      <c r="M357" s="38" t="inlineStr">
        <is>
          <t>--</t>
        </is>
      </c>
      <c r="N357" s="38" t="inlineStr">
        <is>
          <t>--</t>
        </is>
      </c>
      <c r="O357" s="38" t="inlineStr">
        <is>
          <t>JJH</t>
        </is>
      </c>
      <c r="Q357" s="62">
        <f>IF(C357="Yes", 1, IF(C357="no", 0, IF(C357= "tardy", SUM(J357/I357),"")))</f>
        <v/>
      </c>
      <c r="R357" s="62">
        <f>LEFT(Train_Log[[#This Row],[COURSE NAME:]],FIND(" - ", Train_Log[[#This Row],[COURSE NAME:]]) -1)</f>
        <v/>
      </c>
      <c r="S357" s="62">
        <f>MID(Train_Log[[#This Row],[COURSE NAME:]],FIND(" - ", Train_Log[[#This Row],[COURSE NAME:]]), 13)</f>
        <v/>
      </c>
      <c r="T357" s="62">
        <f>MID(E357, FIND(" - ", E357) + 3, LEN(E357)) &amp; "_" &amp; TEXT(F357, "yyyymmdd") &amp; "_" &amp; TEXT(H357, "yyyymmdd")</f>
        <v/>
      </c>
    </row>
    <row r="358">
      <c r="B358" s="38" t="inlineStr">
        <is>
          <t>EE163</t>
        </is>
      </c>
      <c r="C358" s="38" t="inlineStr">
        <is>
          <t>No</t>
        </is>
      </c>
      <c r="D358" s="39" t="inlineStr">
        <is>
          <t>4013611</t>
        </is>
      </c>
      <c r="E358" s="38" t="inlineStr">
        <is>
          <t>LWOP - HCES SUPERUSER TRAINING</t>
        </is>
      </c>
      <c r="F358" s="111" t="n">
        <v>45363</v>
      </c>
      <c r="G358" s="40" t="n">
        <v>45365</v>
      </c>
      <c r="H358" s="111" t="n">
        <v>45365</v>
      </c>
      <c r="I358" s="41" t="n">
        <v>4</v>
      </c>
      <c r="J358" s="42" t="n">
        <v>4</v>
      </c>
      <c r="K358" s="38" t="inlineStr">
        <is>
          <t>TR 4</t>
        </is>
      </c>
      <c r="L358" s="38" t="inlineStr">
        <is>
          <t>TR 8</t>
        </is>
      </c>
      <c r="M358" s="38" t="inlineStr">
        <is>
          <t>--</t>
        </is>
      </c>
      <c r="N358" s="38" t="inlineStr">
        <is>
          <t>--</t>
        </is>
      </c>
      <c r="O358" s="38" t="inlineStr">
        <is>
          <t>JJH</t>
        </is>
      </c>
      <c r="Q358" s="62">
        <f>IF(C358="Yes", 1, IF(C358="no", 0, IF(C358= "tardy", SUM(J358/I358),"")))</f>
        <v/>
      </c>
      <c r="R358" s="62">
        <f>LEFT(Train_Log[[#This Row],[COURSE NAME:]],FIND(" - ", Train_Log[[#This Row],[COURSE NAME:]]) -1)</f>
        <v/>
      </c>
      <c r="S358" s="62">
        <f>MID(Train_Log[[#This Row],[COURSE NAME:]],FIND(" - ", Train_Log[[#This Row],[COURSE NAME:]]), 13)</f>
        <v/>
      </c>
      <c r="T358" s="62">
        <f>MID(E358, FIND(" - ", E358) + 3, LEN(E358)) &amp; "_" &amp; TEXT(F358, "yyyymmdd") &amp; "_" &amp; TEXT(H358, "yyyymmdd")</f>
        <v/>
      </c>
    </row>
    <row r="359">
      <c r="B359" s="38" t="inlineStr">
        <is>
          <t>EE69</t>
        </is>
      </c>
      <c r="C359" s="38" t="inlineStr">
        <is>
          <t>No</t>
        </is>
      </c>
      <c r="D359" s="39" t="inlineStr">
        <is>
          <t>4976395</t>
        </is>
      </c>
      <c r="E359" s="38" t="inlineStr">
        <is>
          <t>LWOP - HCES SUPERUSER TRAINING</t>
        </is>
      </c>
      <c r="F359" s="111" t="n">
        <v>45589</v>
      </c>
      <c r="G359" s="40" t="n">
        <v>45589</v>
      </c>
      <c r="H359" s="111" t="n">
        <v>45589</v>
      </c>
      <c r="I359" s="41" t="n">
        <v>2</v>
      </c>
      <c r="J359" s="42" t="n">
        <v>2</v>
      </c>
      <c r="K359" s="38" t="inlineStr">
        <is>
          <t>TR 10</t>
        </is>
      </c>
      <c r="L359" s="38" t="inlineStr">
        <is>
          <t>TR 8</t>
        </is>
      </c>
      <c r="M359" s="38" t="inlineStr">
        <is>
          <t>--</t>
        </is>
      </c>
      <c r="N359" s="38" t="inlineStr">
        <is>
          <t>--</t>
        </is>
      </c>
      <c r="O359" s="38" t="inlineStr">
        <is>
          <t>JJH</t>
        </is>
      </c>
      <c r="Q359" s="62">
        <f>IF(C359="Yes", 1, IF(C359="no", 0, IF(C359= "tardy", SUM(J359/I359),"")))</f>
        <v/>
      </c>
      <c r="R359" s="62">
        <f>LEFT(Train_Log[[#This Row],[COURSE NAME:]],FIND(" - ", Train_Log[[#This Row],[COURSE NAME:]]) -1)</f>
        <v/>
      </c>
      <c r="S359" s="62">
        <f>MID(Train_Log[[#This Row],[COURSE NAME:]],FIND(" - ", Train_Log[[#This Row],[COURSE NAME:]]), 13)</f>
        <v/>
      </c>
      <c r="T359" s="62">
        <f>MID(E359, FIND(" - ", E359) + 3, LEN(E359)) &amp; "_" &amp; TEXT(F359, "yyyymmdd") &amp; "_" &amp; TEXT(H359, "yyyymmdd")</f>
        <v/>
      </c>
    </row>
    <row r="360">
      <c r="B360" s="38" t="inlineStr">
        <is>
          <t>EE88</t>
        </is>
      </c>
      <c r="C360" s="38" t="inlineStr">
        <is>
          <t>No</t>
        </is>
      </c>
      <c r="D360" s="39" t="inlineStr">
        <is>
          <t>4717807</t>
        </is>
      </c>
      <c r="E360" s="38" t="inlineStr">
        <is>
          <t>PHONES - BENEFITS</t>
        </is>
      </c>
      <c r="F360" s="111" t="n">
        <v>45346</v>
      </c>
      <c r="G360" s="40" t="n">
        <v>45346</v>
      </c>
      <c r="H360" s="111" t="n">
        <v>45346</v>
      </c>
      <c r="I360" s="41" t="n">
        <v>4</v>
      </c>
      <c r="J360" s="42" t="n">
        <v>4</v>
      </c>
      <c r="K360" s="38" t="inlineStr">
        <is>
          <t>TR 1</t>
        </is>
      </c>
      <c r="L360" s="38" t="inlineStr">
        <is>
          <t>TR 2</t>
        </is>
      </c>
      <c r="M360" s="38" t="inlineStr">
        <is>
          <t>--</t>
        </is>
      </c>
      <c r="N360" s="38" t="inlineStr">
        <is>
          <t>--</t>
        </is>
      </c>
      <c r="O360" s="38" t="inlineStr">
        <is>
          <t>JJH</t>
        </is>
      </c>
      <c r="Q360" s="62">
        <f>IF(C360="Yes", 1, IF(C360="no", 0, IF(C360= "tardy", SUM(J360/I360),"")))</f>
        <v/>
      </c>
      <c r="R360" s="62">
        <f>LEFT(Train_Log[[#This Row],[COURSE NAME:]],FIND(" - ", Train_Log[[#This Row],[COURSE NAME:]]) -1)</f>
        <v/>
      </c>
      <c r="S360" s="62">
        <f>MID(Train_Log[[#This Row],[COURSE NAME:]],FIND(" - ", Train_Log[[#This Row],[COURSE NAME:]]), 13)</f>
        <v/>
      </c>
      <c r="T360" s="62">
        <f>MID(E360, FIND(" - ", E360) + 3, LEN(E360)) &amp; "_" &amp; TEXT(F360, "yyyymmdd") &amp; "_" &amp; TEXT(H360, "yyyymmdd")</f>
        <v/>
      </c>
    </row>
    <row r="361">
      <c r="B361" s="38" t="inlineStr">
        <is>
          <t>EE41</t>
        </is>
      </c>
      <c r="C361" s="38" t="inlineStr">
        <is>
          <t>No</t>
        </is>
      </c>
      <c r="D361" s="39" t="inlineStr">
        <is>
          <t>4428700</t>
        </is>
      </c>
      <c r="E361" s="38" t="inlineStr">
        <is>
          <t>OPTIONAL RETIREMENTS - MAILBUILD</t>
        </is>
      </c>
      <c r="F361" s="111" t="n">
        <v>45766</v>
      </c>
      <c r="G361" s="40" t="n">
        <v>45766</v>
      </c>
      <c r="H361" s="111" t="n">
        <v>45766</v>
      </c>
      <c r="I361" s="41" t="n">
        <v>4</v>
      </c>
      <c r="J361" s="42" t="n">
        <v>4</v>
      </c>
      <c r="K361" s="38" t="inlineStr">
        <is>
          <t>TR 4</t>
        </is>
      </c>
      <c r="L361" s="38" t="inlineStr">
        <is>
          <t>TR 3</t>
        </is>
      </c>
      <c r="M361" s="38" t="inlineStr">
        <is>
          <t>--</t>
        </is>
      </c>
      <c r="N361" s="38" t="inlineStr">
        <is>
          <t>--</t>
        </is>
      </c>
      <c r="O361" s="38" t="inlineStr">
        <is>
          <t>JJH</t>
        </is>
      </c>
      <c r="Q361" s="62">
        <f>IF(C361="Yes", 1, IF(C361="no", 0, IF(C361= "tardy", SUM(J361/I361),"")))</f>
        <v/>
      </c>
      <c r="R361" s="62">
        <f>LEFT(Train_Log[[#This Row],[COURSE NAME:]],FIND(" - ", Train_Log[[#This Row],[COURSE NAME:]]) -1)</f>
        <v/>
      </c>
      <c r="S361" s="62">
        <f>MID(Train_Log[[#This Row],[COURSE NAME:]],FIND(" - ", Train_Log[[#This Row],[COURSE NAME:]]), 13)</f>
        <v/>
      </c>
      <c r="T361" s="62">
        <f>MID(E361, FIND(" - ", E361) + 3, LEN(E361)) &amp; "_" &amp; TEXT(F361, "yyyymmdd") &amp; "_" &amp; TEXT(H361, "yyyymmdd")</f>
        <v/>
      </c>
    </row>
    <row r="362">
      <c r="B362" s="38" t="inlineStr">
        <is>
          <t>EE167</t>
        </is>
      </c>
      <c r="C362" s="38" t="inlineStr">
        <is>
          <t>No</t>
        </is>
      </c>
      <c r="D362" s="39" t="inlineStr">
        <is>
          <t>6129371</t>
        </is>
      </c>
      <c r="E362" s="38" t="inlineStr">
        <is>
          <t>RTR - EFORM SEPARATIONS TRAINING</t>
        </is>
      </c>
      <c r="F362" s="111" t="n">
        <v>45461</v>
      </c>
      <c r="G362" s="40" t="n">
        <v>45461</v>
      </c>
      <c r="H362" s="111" t="n">
        <v>45461</v>
      </c>
      <c r="I362" s="41" t="n">
        <v>3</v>
      </c>
      <c r="J362" s="42" t="n">
        <v>3</v>
      </c>
      <c r="K362" s="38" t="inlineStr">
        <is>
          <t>TR 5</t>
        </is>
      </c>
      <c r="L362" s="38" t="inlineStr">
        <is>
          <t>TR 2</t>
        </is>
      </c>
      <c r="M362" s="38" t="inlineStr">
        <is>
          <t>--</t>
        </is>
      </c>
      <c r="N362" s="38" t="inlineStr">
        <is>
          <t>--</t>
        </is>
      </c>
      <c r="O362" s="38" t="inlineStr">
        <is>
          <t>JJH</t>
        </is>
      </c>
      <c r="Q362" s="62">
        <f>IF(C362="Yes", 1, IF(C362="no", 0, IF(C362= "tardy", SUM(J362/I362),"")))</f>
        <v/>
      </c>
      <c r="R362" s="62">
        <f>LEFT(Train_Log[[#This Row],[COURSE NAME:]],FIND(" - ", Train_Log[[#This Row],[COURSE NAME:]]) -1)</f>
        <v/>
      </c>
      <c r="S362" s="62">
        <f>MID(Train_Log[[#This Row],[COURSE NAME:]],FIND(" - ", Train_Log[[#This Row],[COURSE NAME:]]), 13)</f>
        <v/>
      </c>
      <c r="T362" s="62">
        <f>MID(E362, FIND(" - ", E362) + 3, LEN(E362)) &amp; "_" &amp; TEXT(F362, "yyyymmdd") &amp; "_" &amp; TEXT(H362, "yyyymmdd")</f>
        <v/>
      </c>
    </row>
    <row r="363">
      <c r="B363" s="38" t="inlineStr">
        <is>
          <t>EE96</t>
        </is>
      </c>
      <c r="C363" s="56" t="inlineStr">
        <is>
          <t>No</t>
        </is>
      </c>
      <c r="D363" t="inlineStr">
        <is>
          <t>6886360</t>
        </is>
      </c>
      <c r="E363" s="38" t="inlineStr">
        <is>
          <t>PHONES - LWOP</t>
        </is>
      </c>
      <c r="F363" s="111" t="n">
        <v>45352</v>
      </c>
      <c r="G363" s="40" t="n">
        <v>45353</v>
      </c>
      <c r="H363" s="111" t="n">
        <v>45353</v>
      </c>
      <c r="I363" s="41" t="n">
        <v>2</v>
      </c>
      <c r="J363" s="57" t="n">
        <v>2</v>
      </c>
      <c r="K363" s="38" t="inlineStr">
        <is>
          <t>TR 7</t>
        </is>
      </c>
      <c r="L363" s="38" t="inlineStr">
        <is>
          <t>--</t>
        </is>
      </c>
      <c r="M363" s="58" t="inlineStr">
        <is>
          <t>--</t>
        </is>
      </c>
      <c r="N363" s="58" t="inlineStr">
        <is>
          <t>--</t>
        </is>
      </c>
      <c r="O363" s="38" t="inlineStr">
        <is>
          <t>JJH</t>
        </is>
      </c>
      <c r="P363" s="59" t="n"/>
      <c r="Q363" s="62">
        <f>IF(C363="Yes", 1, IF(C363="no", 0, IF(C363= "tardy", SUM(J363/I363),"")))</f>
        <v/>
      </c>
      <c r="R363" s="62">
        <f>LEFT(Train_Log[[#This Row],[COURSE NAME:]],FIND(" - ", Train_Log[[#This Row],[COURSE NAME:]]) -1)</f>
        <v/>
      </c>
      <c r="S363" s="62">
        <f>MID(Train_Log[[#This Row],[COURSE NAME:]],FIND(" - ", Train_Log[[#This Row],[COURSE NAME:]]), 13)</f>
        <v/>
      </c>
      <c r="T363" s="62">
        <f>MID(E363, FIND(" - ", E363) + 3, LEN(E363)) &amp; "_" &amp; TEXT(F363, "yyyymmdd") &amp; "_" &amp; TEXT(H363, "yyyymmdd")</f>
        <v/>
      </c>
    </row>
    <row r="364">
      <c r="B364" s="45" t="inlineStr">
        <is>
          <t>EE24</t>
        </is>
      </c>
      <c r="C364" s="38" t="inlineStr">
        <is>
          <t>No</t>
        </is>
      </c>
      <c r="D364" s="46" t="inlineStr">
        <is>
          <t>6725812</t>
        </is>
      </c>
      <c r="E364" s="45" t="inlineStr">
        <is>
          <t>PHONES - EMPLOYMENT VERIFICATION</t>
        </is>
      </c>
      <c r="F364" s="44" t="n">
        <v>45300</v>
      </c>
      <c r="G364" s="40" t="n">
        <v>45300</v>
      </c>
      <c r="H364" s="44" t="n">
        <v>45300</v>
      </c>
      <c r="I364" s="41" t="n">
        <v>2</v>
      </c>
      <c r="J364" s="47" t="n">
        <v>2</v>
      </c>
      <c r="K364" s="45" t="inlineStr">
        <is>
          <t>TR 10</t>
        </is>
      </c>
      <c r="L364" s="45" t="inlineStr">
        <is>
          <t>TR 4</t>
        </is>
      </c>
      <c r="M364" s="45" t="inlineStr">
        <is>
          <t>--</t>
        </is>
      </c>
      <c r="N364" s="38" t="inlineStr">
        <is>
          <t>--</t>
        </is>
      </c>
      <c r="O364" s="38" t="inlineStr">
        <is>
          <t>JJH</t>
        </is>
      </c>
      <c r="Q364" s="62">
        <f>IF(C364="Yes", 1, IF(C364="no", 0, IF(C364= "tardy", SUM(J364/I364),"")))</f>
        <v/>
      </c>
      <c r="R364" s="62">
        <f>LEFT(Train_Log[[#This Row],[COURSE NAME:]],FIND(" - ", Train_Log[[#This Row],[COURSE NAME:]]) -1)</f>
        <v/>
      </c>
      <c r="S364" s="62">
        <f>MID(Train_Log[[#This Row],[COURSE NAME:]],FIND(" - ", Train_Log[[#This Row],[COURSE NAME:]]), 13)</f>
        <v/>
      </c>
      <c r="T364" s="62">
        <f>MID(E364, FIND(" - ", E364) + 3, LEN(E364)) &amp; "_" &amp; TEXT(F364, "yyyymmdd") &amp; "_" &amp; TEXT(H364, "yyyymmdd")</f>
        <v/>
      </c>
    </row>
    <row r="365">
      <c r="B365" s="45" t="inlineStr">
        <is>
          <t>EE133</t>
        </is>
      </c>
      <c r="C365" s="38" t="inlineStr">
        <is>
          <t>No</t>
        </is>
      </c>
      <c r="D365" s="46" t="inlineStr">
        <is>
          <t>4381301</t>
        </is>
      </c>
      <c r="E365" s="45" t="inlineStr">
        <is>
          <t>OPTIONAL RETIREMENTS - MAILBUILD</t>
        </is>
      </c>
      <c r="F365" s="44" t="n">
        <v>45308</v>
      </c>
      <c r="G365" s="40" t="n">
        <v>45308</v>
      </c>
      <c r="H365" s="44" t="n">
        <v>45308</v>
      </c>
      <c r="I365" s="41" t="n">
        <v>2</v>
      </c>
      <c r="J365" s="47" t="n">
        <v>2</v>
      </c>
      <c r="K365" s="45" t="inlineStr">
        <is>
          <t>TR 7</t>
        </is>
      </c>
      <c r="L365" s="45" t="inlineStr">
        <is>
          <t>TR 3</t>
        </is>
      </c>
      <c r="M365" s="45" t="inlineStr">
        <is>
          <t>--</t>
        </is>
      </c>
      <c r="N365" s="38" t="inlineStr">
        <is>
          <t>--</t>
        </is>
      </c>
      <c r="O365" s="38" t="inlineStr">
        <is>
          <t>JJH</t>
        </is>
      </c>
      <c r="Q365" s="62">
        <f>IF(C365="Yes", 1, IF(C365="no", 0, IF(C365= "tardy", SUM(J365/I365),"")))</f>
        <v/>
      </c>
      <c r="R365" s="62">
        <f>LEFT(Train_Log[[#This Row],[COURSE NAME:]],FIND(" - ", Train_Log[[#This Row],[COURSE NAME:]]) -1)</f>
        <v/>
      </c>
      <c r="S365" s="62">
        <f>MID(Train_Log[[#This Row],[COURSE NAME:]],FIND(" - ", Train_Log[[#This Row],[COURSE NAME:]]), 13)</f>
        <v/>
      </c>
      <c r="T365" s="62">
        <f>MID(E365, FIND(" - ", E365) + 3, LEN(E365)) &amp; "_" &amp; TEXT(F365, "yyyymmdd") &amp; "_" &amp; TEXT(H365, "yyyymmdd")</f>
        <v/>
      </c>
    </row>
    <row r="366">
      <c r="B366" s="38" t="inlineStr">
        <is>
          <t>EE123</t>
        </is>
      </c>
      <c r="C366" s="38" t="inlineStr">
        <is>
          <t>No</t>
        </is>
      </c>
      <c r="D366" s="39" t="inlineStr">
        <is>
          <t>5102018</t>
        </is>
      </c>
      <c r="E366" s="38" t="inlineStr">
        <is>
          <t>PHONES - EMPLOYMENT VERIFICATION</t>
        </is>
      </c>
      <c r="F366" s="44" t="n">
        <v>45533</v>
      </c>
      <c r="G366" s="40" t="n">
        <v>45534</v>
      </c>
      <c r="H366" s="44" t="n">
        <v>45534</v>
      </c>
      <c r="I366" s="41" t="n">
        <v>2</v>
      </c>
      <c r="J366" s="42" t="n">
        <v>2</v>
      </c>
      <c r="K366" s="38" t="inlineStr">
        <is>
          <t>TR 2</t>
        </is>
      </c>
      <c r="L366" s="38" t="inlineStr">
        <is>
          <t>TR 6</t>
        </is>
      </c>
      <c r="M366" s="38" t="inlineStr">
        <is>
          <t>--</t>
        </is>
      </c>
      <c r="N366" s="38" t="inlineStr">
        <is>
          <t>--</t>
        </is>
      </c>
      <c r="O366" s="38" t="inlineStr">
        <is>
          <t>JJH</t>
        </is>
      </c>
      <c r="Q366" s="62">
        <f>IF(C366="Yes", 1, IF(C366="no", 0, IF(C366= "tardy", SUM(J366/I366),"")))</f>
        <v/>
      </c>
      <c r="R366" s="62">
        <f>LEFT(Train_Log[[#This Row],[COURSE NAME:]],FIND(" - ", Train_Log[[#This Row],[COURSE NAME:]]) -1)</f>
        <v/>
      </c>
      <c r="S366" s="62">
        <f>MID(Train_Log[[#This Row],[COURSE NAME:]],FIND(" - ", Train_Log[[#This Row],[COURSE NAME:]]), 13)</f>
        <v/>
      </c>
      <c r="T366" s="62">
        <f>MID(E366, FIND(" - ", E366) + 3, LEN(E366)) &amp; "_" &amp; TEXT(F366, "yyyymmdd") &amp; "_" &amp; TEXT(H366, "yyyymmdd")</f>
        <v/>
      </c>
    </row>
    <row r="367">
      <c r="B367" s="38" t="inlineStr">
        <is>
          <t>EE95</t>
        </is>
      </c>
      <c r="C367" s="38" t="inlineStr">
        <is>
          <t>No</t>
        </is>
      </c>
      <c r="D367" s="39" t="inlineStr">
        <is>
          <t>6684353</t>
        </is>
      </c>
      <c r="E367" s="38" t="inlineStr">
        <is>
          <t>RTR - EFORM SEPARATIONS TRAINING</t>
        </is>
      </c>
      <c r="F367" s="44" t="n">
        <v>45439</v>
      </c>
      <c r="G367" s="40" t="n">
        <v>45440</v>
      </c>
      <c r="H367" s="44" t="n">
        <v>45440</v>
      </c>
      <c r="I367" s="41" t="n">
        <v>2</v>
      </c>
      <c r="J367" s="42" t="n">
        <v>2</v>
      </c>
      <c r="K367" s="38" t="inlineStr">
        <is>
          <t>TR 3</t>
        </is>
      </c>
      <c r="L367" s="38" t="inlineStr">
        <is>
          <t>TR 2</t>
        </is>
      </c>
      <c r="M367" s="38" t="inlineStr">
        <is>
          <t>--</t>
        </is>
      </c>
      <c r="N367" s="38" t="inlineStr">
        <is>
          <t>--</t>
        </is>
      </c>
      <c r="O367" s="38" t="inlineStr">
        <is>
          <t>JJH</t>
        </is>
      </c>
      <c r="Q367" s="62">
        <f>IF(C367="Yes", 1, IF(C367="no", 0, IF(C367= "tardy", SUM(J367/I367),"")))</f>
        <v/>
      </c>
      <c r="R367" s="62">
        <f>LEFT(Train_Log[[#This Row],[COURSE NAME:]],FIND(" - ", Train_Log[[#This Row],[COURSE NAME:]]) -1)</f>
        <v/>
      </c>
      <c r="S367" s="62">
        <f>MID(Train_Log[[#This Row],[COURSE NAME:]],FIND(" - ", Train_Log[[#This Row],[COURSE NAME:]]), 13)</f>
        <v/>
      </c>
      <c r="T367" s="62">
        <f>MID(E367, FIND(" - ", E367) + 3, LEN(E367)) &amp; "_" &amp; TEXT(F367, "yyyymmdd") &amp; "_" &amp; TEXT(H367, "yyyymmdd")</f>
        <v/>
      </c>
    </row>
    <row r="368">
      <c r="B368" s="38" t="inlineStr">
        <is>
          <t>EE136</t>
        </is>
      </c>
      <c r="C368" s="38" t="inlineStr">
        <is>
          <t>No</t>
        </is>
      </c>
      <c r="D368" s="39" t="inlineStr">
        <is>
          <t>4641062</t>
        </is>
      </c>
      <c r="E368" s="38" t="inlineStr">
        <is>
          <t>PHONES - BENEFITS</t>
        </is>
      </c>
      <c r="F368" s="44" t="n">
        <v>45467</v>
      </c>
      <c r="G368" s="40" t="n">
        <v>45468</v>
      </c>
      <c r="H368" s="44" t="n">
        <v>45468</v>
      </c>
      <c r="I368" s="41" t="n">
        <v>2</v>
      </c>
      <c r="J368" s="42" t="n">
        <v>2</v>
      </c>
      <c r="K368" s="38" t="inlineStr">
        <is>
          <t>TR 3</t>
        </is>
      </c>
      <c r="L368" s="38" t="inlineStr">
        <is>
          <t>TR 7</t>
        </is>
      </c>
      <c r="M368" s="38" t="inlineStr">
        <is>
          <t>--</t>
        </is>
      </c>
      <c r="N368" s="38" t="inlineStr">
        <is>
          <t>--</t>
        </is>
      </c>
      <c r="O368" s="38" t="inlineStr">
        <is>
          <t>JJH</t>
        </is>
      </c>
      <c r="Q368" s="62">
        <f>IF(C368="Yes", 1, IF(C368="no", 0, IF(C368= "tardy", SUM(J368/I368),"")))</f>
        <v/>
      </c>
      <c r="R368" s="62">
        <f>LEFT(Train_Log[[#This Row],[COURSE NAME:]],FIND(" - ", Train_Log[[#This Row],[COURSE NAME:]]) -1)</f>
        <v/>
      </c>
      <c r="S368" s="62">
        <f>MID(Train_Log[[#This Row],[COURSE NAME:]],FIND(" - ", Train_Log[[#This Row],[COURSE NAME:]]), 13)</f>
        <v/>
      </c>
      <c r="T368" s="62">
        <f>MID(E368, FIND(" - ", E368) + 3, LEN(E368)) &amp; "_" &amp; TEXT(F368, "yyyymmdd") &amp; "_" &amp; TEXT(H368, "yyyymmdd")</f>
        <v/>
      </c>
    </row>
    <row r="369">
      <c r="B369" s="38" t="inlineStr">
        <is>
          <t>EE158</t>
        </is>
      </c>
      <c r="C369" s="38" t="inlineStr">
        <is>
          <t>No</t>
        </is>
      </c>
      <c r="D369" s="39" t="inlineStr">
        <is>
          <t>4467883</t>
        </is>
      </c>
      <c r="E369" s="38" t="inlineStr">
        <is>
          <t>OPTIONAL RETIREMENTS - MAILBUILD</t>
        </is>
      </c>
      <c r="F369" s="44" t="n">
        <v>45521</v>
      </c>
      <c r="G369" s="40" t="n">
        <v>45521</v>
      </c>
      <c r="H369" s="44" t="n">
        <v>45521</v>
      </c>
      <c r="I369" s="41" t="n">
        <v>2</v>
      </c>
      <c r="J369" s="42" t="n">
        <v>2</v>
      </c>
      <c r="K369" s="38" t="inlineStr">
        <is>
          <t>TR 2</t>
        </is>
      </c>
      <c r="L369" s="38" t="inlineStr">
        <is>
          <t>TR 10</t>
        </is>
      </c>
      <c r="M369" s="38" t="inlineStr">
        <is>
          <t>--</t>
        </is>
      </c>
      <c r="N369" s="38" t="inlineStr">
        <is>
          <t>--</t>
        </is>
      </c>
      <c r="O369" s="38" t="inlineStr">
        <is>
          <t>JJH</t>
        </is>
      </c>
      <c r="Q369" s="62">
        <f>IF(C369="Yes", 1, IF(C369="no", 0, IF(C369= "tardy", SUM(J369/I369),"")))</f>
        <v/>
      </c>
      <c r="R369" s="62">
        <f>LEFT(Train_Log[[#This Row],[COURSE NAME:]],FIND(" - ", Train_Log[[#This Row],[COURSE NAME:]]) -1)</f>
        <v/>
      </c>
      <c r="S369" s="62">
        <f>MID(Train_Log[[#This Row],[COURSE NAME:]],FIND(" - ", Train_Log[[#This Row],[COURSE NAME:]]), 13)</f>
        <v/>
      </c>
      <c r="T369" s="62">
        <f>MID(E369, FIND(" - ", E369) + 3, LEN(E369)) &amp; "_" &amp; TEXT(F369, "yyyymmdd") &amp; "_" &amp; TEXT(H369, "yyyymmdd")</f>
        <v/>
      </c>
    </row>
    <row r="370">
      <c r="B370" s="38" t="inlineStr">
        <is>
          <t>EE187</t>
        </is>
      </c>
      <c r="C370" s="38" t="inlineStr">
        <is>
          <t>No</t>
        </is>
      </c>
      <c r="D370" s="39" t="inlineStr">
        <is>
          <t>5289807</t>
        </is>
      </c>
      <c r="E370" s="38" t="inlineStr">
        <is>
          <t>LWOP - HCES SU FACILITATION TRAINING</t>
        </is>
      </c>
      <c r="F370" s="44" t="n">
        <v>45658</v>
      </c>
      <c r="G370" s="40" t="n">
        <v>45659</v>
      </c>
      <c r="H370" s="44" t="n">
        <v>45659</v>
      </c>
      <c r="I370" s="41" t="n">
        <v>2</v>
      </c>
      <c r="J370" s="42" t="n">
        <v>2</v>
      </c>
      <c r="K370" s="38" t="inlineStr">
        <is>
          <t>TR 4</t>
        </is>
      </c>
      <c r="L370" s="38" t="inlineStr">
        <is>
          <t>TR 5</t>
        </is>
      </c>
      <c r="M370" s="38" t="inlineStr">
        <is>
          <t>--</t>
        </is>
      </c>
      <c r="N370" s="38" t="inlineStr">
        <is>
          <t>--</t>
        </is>
      </c>
      <c r="O370" s="38" t="inlineStr">
        <is>
          <t>JJH</t>
        </is>
      </c>
      <c r="Q370" s="62">
        <f>IF(C370="Yes", 1, IF(C370="no", 0, IF(C370= "tardy", SUM(J370/I370),"")))</f>
        <v/>
      </c>
      <c r="R370" s="62">
        <f>LEFT(Train_Log[[#This Row],[COURSE NAME:]],FIND(" - ", Train_Log[[#This Row],[COURSE NAME:]]) -1)</f>
        <v/>
      </c>
      <c r="S370" s="62">
        <f>MID(Train_Log[[#This Row],[COURSE NAME:]],FIND(" - ", Train_Log[[#This Row],[COURSE NAME:]]), 13)</f>
        <v/>
      </c>
      <c r="T370" s="62">
        <f>MID(E370, FIND(" - ", E370) + 3, LEN(E370)) &amp; "_" &amp; TEXT(F370, "yyyymmdd") &amp; "_" &amp; TEXT(H370, "yyyymmdd")</f>
        <v/>
      </c>
    </row>
    <row r="371">
      <c r="B371" s="38" t="inlineStr">
        <is>
          <t>EE166</t>
        </is>
      </c>
      <c r="C371" s="38" t="inlineStr">
        <is>
          <t>No</t>
        </is>
      </c>
      <c r="D371" s="39" t="inlineStr">
        <is>
          <t>4749320</t>
        </is>
      </c>
      <c r="E371" s="38" t="inlineStr">
        <is>
          <t>PHONES - EMPLOYMENT VERIFICATION</t>
        </is>
      </c>
      <c r="F371" s="44" t="n">
        <v>45553</v>
      </c>
      <c r="G371" s="40" t="n">
        <v>45555</v>
      </c>
      <c r="H371" s="44" t="n">
        <v>45555</v>
      </c>
      <c r="I371" s="41" t="n">
        <v>8</v>
      </c>
      <c r="J371" s="42" t="n">
        <v>8</v>
      </c>
      <c r="K371" s="38" t="inlineStr">
        <is>
          <t>TR 5</t>
        </is>
      </c>
      <c r="L371" s="38" t="inlineStr">
        <is>
          <t>TR 1</t>
        </is>
      </c>
      <c r="M371" s="38" t="inlineStr">
        <is>
          <t>--</t>
        </is>
      </c>
      <c r="N371" s="38" t="inlineStr">
        <is>
          <t>--</t>
        </is>
      </c>
      <c r="O371" s="38" t="inlineStr">
        <is>
          <t>JJH</t>
        </is>
      </c>
      <c r="Q371" s="62">
        <f>IF(C371="Yes", 1, IF(C371="no", 0, IF(C371= "tardy", SUM(J371/I371),"")))</f>
        <v/>
      </c>
      <c r="R371" s="62">
        <f>LEFT(Train_Log[[#This Row],[COURSE NAME:]],FIND(" - ", Train_Log[[#This Row],[COURSE NAME:]]) -1)</f>
        <v/>
      </c>
      <c r="S371" s="62">
        <f>MID(Train_Log[[#This Row],[COURSE NAME:]],FIND(" - ", Train_Log[[#This Row],[COURSE NAME:]]), 13)</f>
        <v/>
      </c>
      <c r="T371" s="62">
        <f>MID(E371, FIND(" - ", E371) + 3, LEN(E371)) &amp; "_" &amp; TEXT(F371, "yyyymmdd") &amp; "_" &amp; TEXT(H371, "yyyymmdd")</f>
        <v/>
      </c>
    </row>
    <row r="372">
      <c r="B372" s="38" t="inlineStr">
        <is>
          <t>EE169</t>
        </is>
      </c>
      <c r="C372" s="38" t="inlineStr">
        <is>
          <t>No</t>
        </is>
      </c>
      <c r="D372" s="39" t="inlineStr">
        <is>
          <t>6622699</t>
        </is>
      </c>
      <c r="E372" s="38" t="inlineStr">
        <is>
          <t>RTR - EFORM SEPARATIONS TRAINING</t>
        </is>
      </c>
      <c r="F372" s="44" t="n">
        <v>45509</v>
      </c>
      <c r="G372" s="40" t="n">
        <v>45511</v>
      </c>
      <c r="H372" s="44" t="n">
        <v>45511</v>
      </c>
      <c r="I372" s="41" t="n">
        <v>2</v>
      </c>
      <c r="J372" s="42" t="n">
        <v>2</v>
      </c>
      <c r="K372" s="38" t="inlineStr">
        <is>
          <t>TR 7</t>
        </is>
      </c>
      <c r="L372" s="38" t="inlineStr">
        <is>
          <t>TR 5</t>
        </is>
      </c>
      <c r="M372" s="38" t="inlineStr">
        <is>
          <t>--</t>
        </is>
      </c>
      <c r="N372" s="38" t="inlineStr">
        <is>
          <t>--</t>
        </is>
      </c>
      <c r="O372" s="38" t="inlineStr">
        <is>
          <t>JJH</t>
        </is>
      </c>
      <c r="Q372" s="62">
        <f>IF(C372="Yes", 1, IF(C372="no", 0, IF(C372= "tardy", SUM(J372/I372),"")))</f>
        <v/>
      </c>
      <c r="R372" s="62">
        <f>LEFT(Train_Log[[#This Row],[COURSE NAME:]],FIND(" - ", Train_Log[[#This Row],[COURSE NAME:]]) -1)</f>
        <v/>
      </c>
      <c r="S372" s="62">
        <f>MID(Train_Log[[#This Row],[COURSE NAME:]],FIND(" - ", Train_Log[[#This Row],[COURSE NAME:]]), 13)</f>
        <v/>
      </c>
      <c r="T372" s="62">
        <f>MID(E372, FIND(" - ", E372) + 3, LEN(E372)) &amp; "_" &amp; TEXT(F372, "yyyymmdd") &amp; "_" &amp; TEXT(H372, "yyyymmdd")</f>
        <v/>
      </c>
    </row>
    <row r="373">
      <c r="B373" s="38" t="inlineStr">
        <is>
          <t>EE166</t>
        </is>
      </c>
      <c r="C373" s="38" t="inlineStr">
        <is>
          <t>No</t>
        </is>
      </c>
      <c r="D373" s="39" t="inlineStr">
        <is>
          <t>4749320</t>
        </is>
      </c>
      <c r="E373" s="38" t="inlineStr">
        <is>
          <t>PHONES - BENEFITS</t>
        </is>
      </c>
      <c r="F373" s="44" t="n">
        <v>45544</v>
      </c>
      <c r="G373" s="40" t="n">
        <v>45545</v>
      </c>
      <c r="H373" s="44" t="n">
        <v>45545</v>
      </c>
      <c r="I373" s="41" t="n">
        <v>2</v>
      </c>
      <c r="J373" s="42" t="n">
        <v>2</v>
      </c>
      <c r="K373" s="38" t="inlineStr">
        <is>
          <t>TR 8</t>
        </is>
      </c>
      <c r="L373" s="38" t="inlineStr">
        <is>
          <t>--</t>
        </is>
      </c>
      <c r="M373" s="38" t="inlineStr">
        <is>
          <t>--</t>
        </is>
      </c>
      <c r="N373" s="38" t="inlineStr">
        <is>
          <t>--</t>
        </is>
      </c>
      <c r="O373" s="38" t="inlineStr">
        <is>
          <t>JJH</t>
        </is>
      </c>
      <c r="Q373" s="62">
        <f>IF(C373="Yes", 1, IF(C373="no", 0, IF(C373= "tardy", SUM(J373/I373),"")))</f>
        <v/>
      </c>
      <c r="R373" s="62">
        <f>LEFT(Train_Log[[#This Row],[COURSE NAME:]],FIND(" - ", Train_Log[[#This Row],[COURSE NAME:]]) -1)</f>
        <v/>
      </c>
      <c r="S373" s="62">
        <f>MID(Train_Log[[#This Row],[COURSE NAME:]],FIND(" - ", Train_Log[[#This Row],[COURSE NAME:]]), 13)</f>
        <v/>
      </c>
      <c r="T373" s="62">
        <f>MID(E373, FIND(" - ", E373) + 3, LEN(E373)) &amp; "_" &amp; TEXT(F373, "yyyymmdd") &amp; "_" &amp; TEXT(H373, "yyyymmdd")</f>
        <v/>
      </c>
    </row>
    <row r="374">
      <c r="B374" s="38" t="inlineStr">
        <is>
          <t>EE153</t>
        </is>
      </c>
      <c r="C374" s="38" t="inlineStr">
        <is>
          <t>No</t>
        </is>
      </c>
      <c r="D374" s="39" t="inlineStr">
        <is>
          <t>6859300</t>
        </is>
      </c>
      <c r="E374" s="38" t="inlineStr">
        <is>
          <t>PHONES - EMPLOYMENT VERIFICATION</t>
        </is>
      </c>
      <c r="F374" s="44" t="n">
        <v>45311</v>
      </c>
      <c r="G374" s="40" t="n">
        <v>45311</v>
      </c>
      <c r="H374" s="44" t="n">
        <v>45311</v>
      </c>
      <c r="I374" s="41" t="n">
        <v>2</v>
      </c>
      <c r="J374" s="42" t="n">
        <v>2</v>
      </c>
      <c r="K374" s="38" t="inlineStr">
        <is>
          <t>TR 7</t>
        </is>
      </c>
      <c r="L374" s="38" t="inlineStr">
        <is>
          <t>TR 10</t>
        </is>
      </c>
      <c r="M374" s="38" t="inlineStr">
        <is>
          <t>--</t>
        </is>
      </c>
      <c r="N374" s="38" t="inlineStr">
        <is>
          <t>--</t>
        </is>
      </c>
      <c r="O374" s="38" t="inlineStr">
        <is>
          <t>JJH</t>
        </is>
      </c>
      <c r="Q374" s="62">
        <f>IF(C374="Yes", 1, IF(C374="no", 0, IF(C374= "tardy", SUM(J374/I374),"")))</f>
        <v/>
      </c>
      <c r="R374" s="62">
        <f>LEFT(Train_Log[[#This Row],[COURSE NAME:]],FIND(" - ", Train_Log[[#This Row],[COURSE NAME:]]) -1)</f>
        <v/>
      </c>
      <c r="S374" s="62">
        <f>MID(Train_Log[[#This Row],[COURSE NAME:]],FIND(" - ", Train_Log[[#This Row],[COURSE NAME:]]), 13)</f>
        <v/>
      </c>
      <c r="T374" s="62">
        <f>MID(E374, FIND(" - ", E374) + 3, LEN(E374)) &amp; "_" &amp; TEXT(F374, "yyyymmdd") &amp; "_" &amp; TEXT(H374, "yyyymmdd")</f>
        <v/>
      </c>
    </row>
    <row r="375">
      <c r="B375" s="38" t="inlineStr">
        <is>
          <t>EE108</t>
        </is>
      </c>
      <c r="C375" s="38" t="inlineStr">
        <is>
          <t>No</t>
        </is>
      </c>
      <c r="D375" s="39" t="inlineStr">
        <is>
          <t>4884926</t>
        </is>
      </c>
      <c r="E375" s="38" t="inlineStr">
        <is>
          <t>LWOP - HCES SUPERUSER TRAINING</t>
        </is>
      </c>
      <c r="F375" s="44" t="n">
        <v>45475</v>
      </c>
      <c r="G375" s="40" t="n">
        <v>45476</v>
      </c>
      <c r="H375" s="44" t="n">
        <v>45476</v>
      </c>
      <c r="I375" s="41" t="n">
        <v>2</v>
      </c>
      <c r="J375" s="42" t="n">
        <v>2</v>
      </c>
      <c r="K375" s="38" t="inlineStr">
        <is>
          <t>TR 1</t>
        </is>
      </c>
      <c r="L375" s="38" t="inlineStr">
        <is>
          <t>TR 10</t>
        </is>
      </c>
      <c r="M375" s="38" t="inlineStr">
        <is>
          <t>--</t>
        </is>
      </c>
      <c r="N375" s="38" t="inlineStr">
        <is>
          <t>--</t>
        </is>
      </c>
      <c r="O375" s="38" t="inlineStr">
        <is>
          <t>JJH</t>
        </is>
      </c>
      <c r="Q375" s="62">
        <f>IF(C375="Yes", 1, IF(C375="no", 0, IF(C375= "tardy", SUM(J375/I375),"")))</f>
        <v/>
      </c>
      <c r="R375" s="62">
        <f>LEFT(Train_Log[[#This Row],[COURSE NAME:]],FIND(" - ", Train_Log[[#This Row],[COURSE NAME:]]) -1)</f>
        <v/>
      </c>
      <c r="S375" s="62">
        <f>MID(Train_Log[[#This Row],[COURSE NAME:]],FIND(" - ", Train_Log[[#This Row],[COURSE NAME:]]), 13)</f>
        <v/>
      </c>
      <c r="T375" s="62">
        <f>MID(E375, FIND(" - ", E375) + 3, LEN(E375)) &amp; "_" &amp; TEXT(F375, "yyyymmdd") &amp; "_" &amp; TEXT(H375, "yyyymmdd")</f>
        <v/>
      </c>
    </row>
    <row r="376">
      <c r="B376" s="38" t="inlineStr">
        <is>
          <t>EE18</t>
        </is>
      </c>
      <c r="C376" s="38" t="inlineStr">
        <is>
          <t>tardy</t>
        </is>
      </c>
      <c r="D376" s="39" t="inlineStr">
        <is>
          <t>4975850</t>
        </is>
      </c>
      <c r="E376" s="38" t="inlineStr">
        <is>
          <t>PHONES - BENEFITS</t>
        </is>
      </c>
      <c r="F376" s="44" t="n">
        <v>45567</v>
      </c>
      <c r="G376" s="40" t="n">
        <v>45567</v>
      </c>
      <c r="H376" s="44" t="n">
        <v>45567</v>
      </c>
      <c r="I376" s="41" t="n">
        <v>2</v>
      </c>
      <c r="J376" s="42" t="n">
        <v>1.76</v>
      </c>
      <c r="K376" s="38" t="inlineStr">
        <is>
          <t>TR 7</t>
        </is>
      </c>
      <c r="L376" s="38" t="inlineStr">
        <is>
          <t>TR 9</t>
        </is>
      </c>
      <c r="M376" s="38" t="inlineStr">
        <is>
          <t>--</t>
        </is>
      </c>
      <c r="N376" s="38" t="inlineStr">
        <is>
          <t>--</t>
        </is>
      </c>
      <c r="O376" s="38" t="inlineStr">
        <is>
          <t>JJH</t>
        </is>
      </c>
      <c r="Q376" s="62">
        <f>IF(C376="Yes", 1, IF(C376="no", 0, IF(C376= "tardy", SUM(J376/I376),"")))</f>
        <v/>
      </c>
      <c r="R376" s="62">
        <f>LEFT(Train_Log[[#This Row],[COURSE NAME:]],FIND(" - ", Train_Log[[#This Row],[COURSE NAME:]]) -1)</f>
        <v/>
      </c>
      <c r="S376" s="62">
        <f>MID(Train_Log[[#This Row],[COURSE NAME:]],FIND(" - ", Train_Log[[#This Row],[COURSE NAME:]]), 13)</f>
        <v/>
      </c>
      <c r="T376" s="62">
        <f>MID(E376, FIND(" - ", E376) + 3, LEN(E376)) &amp; "_" &amp; TEXT(F376, "yyyymmdd") &amp; "_" &amp; TEXT(H376, "yyyymmdd")</f>
        <v/>
      </c>
    </row>
    <row r="377">
      <c r="B377" s="38" t="inlineStr">
        <is>
          <t>EE74</t>
        </is>
      </c>
      <c r="C377" s="38" t="inlineStr">
        <is>
          <t>No</t>
        </is>
      </c>
      <c r="D377" s="39" t="inlineStr">
        <is>
          <t>6666253</t>
        </is>
      </c>
      <c r="E377" s="38" t="inlineStr">
        <is>
          <t>LWOP - HCES SU FACILITATION TRAINING</t>
        </is>
      </c>
      <c r="F377" s="44" t="n">
        <v>45732</v>
      </c>
      <c r="G377" s="40" t="n">
        <v>45736</v>
      </c>
      <c r="H377" s="44" t="n">
        <v>45736</v>
      </c>
      <c r="I377" s="41" t="n">
        <v>8</v>
      </c>
      <c r="J377" s="42" t="n">
        <v>8</v>
      </c>
      <c r="K377" s="38" t="inlineStr">
        <is>
          <t>TR 9</t>
        </is>
      </c>
      <c r="L377" s="38" t="inlineStr">
        <is>
          <t>TR 10</t>
        </is>
      </c>
      <c r="M377" s="38" t="inlineStr">
        <is>
          <t>--</t>
        </is>
      </c>
      <c r="N377" s="38" t="inlineStr">
        <is>
          <t>--</t>
        </is>
      </c>
      <c r="O377" s="38" t="inlineStr">
        <is>
          <t>JJH</t>
        </is>
      </c>
      <c r="Q377" s="62">
        <f>IF(C377="Yes", 1, IF(C377="no", 0, IF(C377= "tardy", SUM(J377/I377),"")))</f>
        <v/>
      </c>
      <c r="R377" s="62">
        <f>LEFT(Train_Log[[#This Row],[COURSE NAME:]],FIND(" - ", Train_Log[[#This Row],[COURSE NAME:]]) -1)</f>
        <v/>
      </c>
      <c r="S377" s="62">
        <f>MID(Train_Log[[#This Row],[COURSE NAME:]],FIND(" - ", Train_Log[[#This Row],[COURSE NAME:]]), 13)</f>
        <v/>
      </c>
      <c r="T377" s="62">
        <f>MID(E377, FIND(" - ", E377) + 3, LEN(E377)) &amp; "_" &amp; TEXT(F377, "yyyymmdd") &amp; "_" &amp; TEXT(H377, "yyyymmdd")</f>
        <v/>
      </c>
    </row>
    <row r="378">
      <c r="B378" s="38" t="inlineStr">
        <is>
          <t>EE40</t>
        </is>
      </c>
      <c r="C378" s="38" t="inlineStr">
        <is>
          <t>No</t>
        </is>
      </c>
      <c r="D378" t="inlineStr">
        <is>
          <t>5411779</t>
        </is>
      </c>
      <c r="E378" s="38" t="inlineStr">
        <is>
          <t>RTR - EFORM SEPARATIONS TRAINING</t>
        </is>
      </c>
      <c r="F378" s="40" t="n">
        <v>45384</v>
      </c>
      <c r="G378" s="40" t="n">
        <v>45384</v>
      </c>
      <c r="H378" s="40" t="n">
        <v>45384</v>
      </c>
      <c r="I378" s="41" t="n">
        <v>2</v>
      </c>
      <c r="J378" s="41" t="n">
        <v>2</v>
      </c>
      <c r="K378" s="38" t="inlineStr">
        <is>
          <t>TR 3</t>
        </is>
      </c>
      <c r="L378" s="38" t="inlineStr">
        <is>
          <t>TR 9</t>
        </is>
      </c>
      <c r="M378" s="38" t="inlineStr">
        <is>
          <t>--</t>
        </is>
      </c>
      <c r="N378" s="38" t="inlineStr">
        <is>
          <t>--</t>
        </is>
      </c>
      <c r="O378" s="38" t="inlineStr">
        <is>
          <t>JJH</t>
        </is>
      </c>
      <c r="Q378" s="62">
        <f>IF(C378="Yes", 1, IF(C378="no", 0, IF(C378= "tardy", SUM(J378/I378),"")))</f>
        <v/>
      </c>
      <c r="R378" s="62">
        <f>LEFT(Train_Log[[#This Row],[COURSE NAME:]],FIND(" - ", Train_Log[[#This Row],[COURSE NAME:]]) -1)</f>
        <v/>
      </c>
      <c r="S378" s="62">
        <f>MID(Train_Log[[#This Row],[COURSE NAME:]],FIND(" - ", Train_Log[[#This Row],[COURSE NAME:]]), 13)</f>
        <v/>
      </c>
      <c r="T378" s="62">
        <f>MID(E378, FIND(" - ", E378) + 3, LEN(E378)) &amp; "_" &amp; TEXT(F378, "yyyymmdd") &amp; "_" &amp; TEXT(H378, "yyyymmdd")</f>
        <v/>
      </c>
    </row>
    <row r="379">
      <c r="B379" s="38" t="inlineStr">
        <is>
          <t>EE84</t>
        </is>
      </c>
      <c r="C379" s="38" t="inlineStr">
        <is>
          <t>No</t>
        </is>
      </c>
      <c r="D379" t="inlineStr">
        <is>
          <t>6718057</t>
        </is>
      </c>
      <c r="E379" s="38" t="inlineStr">
        <is>
          <t>LWOP - HCES SU FACILITATION TRAINING</t>
        </is>
      </c>
      <c r="F379" s="40" t="n">
        <v>45366</v>
      </c>
      <c r="G379" s="40" t="n">
        <v>45366</v>
      </c>
      <c r="H379" s="40" t="n">
        <v>45366</v>
      </c>
      <c r="I379" s="41" t="n">
        <v>2</v>
      </c>
      <c r="J379" s="41" t="n">
        <v>2</v>
      </c>
      <c r="K379" s="38" t="inlineStr">
        <is>
          <t>TR 1</t>
        </is>
      </c>
      <c r="L379" s="38" t="inlineStr">
        <is>
          <t>TR 4</t>
        </is>
      </c>
      <c r="M379" s="38" t="inlineStr">
        <is>
          <t>--</t>
        </is>
      </c>
      <c r="N379" s="38" t="inlineStr">
        <is>
          <t>--</t>
        </is>
      </c>
      <c r="O379" s="38" t="inlineStr">
        <is>
          <t>JJH</t>
        </is>
      </c>
      <c r="P379" s="50" t="n"/>
      <c r="Q379" s="62">
        <f>IF(C379="Yes", 1, IF(C379="no", 0, IF(C379= "tardy", SUM(J379/I379),"")))</f>
        <v/>
      </c>
      <c r="R379" s="62">
        <f>LEFT(Train_Log[[#This Row],[COURSE NAME:]],FIND(" - ", Train_Log[[#This Row],[COURSE NAME:]]) -1)</f>
        <v/>
      </c>
      <c r="S379" s="62">
        <f>MID(Train_Log[[#This Row],[COURSE NAME:]],FIND(" - ", Train_Log[[#This Row],[COURSE NAME:]]), 13)</f>
        <v/>
      </c>
      <c r="T379" s="62">
        <f>MID(E379, FIND(" - ", E379) + 3, LEN(E379)) &amp; "_" &amp; TEXT(F379, "yyyymmdd") &amp; "_" &amp; TEXT(H379, "yyyymmdd")</f>
        <v/>
      </c>
    </row>
    <row r="380">
      <c r="B380" s="38" t="inlineStr">
        <is>
          <t>EE23</t>
        </is>
      </c>
      <c r="C380" s="38" t="inlineStr">
        <is>
          <t>No</t>
        </is>
      </c>
      <c r="D380" s="39" t="inlineStr">
        <is>
          <t>4833985</t>
        </is>
      </c>
      <c r="E380" s="38" t="inlineStr">
        <is>
          <t>LWOP - HCES SU FACILITATION TRAINING</t>
        </is>
      </c>
      <c r="F380" s="40" t="n">
        <v>45417</v>
      </c>
      <c r="G380" s="40" t="n">
        <v>45418</v>
      </c>
      <c r="H380" s="40" t="n">
        <v>45418</v>
      </c>
      <c r="I380" s="41" t="n">
        <v>2</v>
      </c>
      <c r="J380" s="41" t="n">
        <v>2</v>
      </c>
      <c r="K380" s="38" t="inlineStr">
        <is>
          <t>TR 5</t>
        </is>
      </c>
      <c r="L380" s="38" t="inlineStr">
        <is>
          <t>--</t>
        </is>
      </c>
      <c r="M380" s="38" t="inlineStr">
        <is>
          <t>--</t>
        </is>
      </c>
      <c r="N380" s="38" t="inlineStr">
        <is>
          <t>--</t>
        </is>
      </c>
      <c r="O380" s="38" t="inlineStr">
        <is>
          <t>JJH</t>
        </is>
      </c>
      <c r="P380" s="44" t="n"/>
      <c r="Q380" s="62">
        <f>IF(C380="Yes", 1, IF(C380="no", 0, IF(C380= "tardy", SUM(J380/I380),"")))</f>
        <v/>
      </c>
      <c r="R380" s="62">
        <f>LEFT(Train_Log[[#This Row],[COURSE NAME:]],FIND(" - ", Train_Log[[#This Row],[COURSE NAME:]]) -1)</f>
        <v/>
      </c>
      <c r="S380" s="62">
        <f>MID(Train_Log[[#This Row],[COURSE NAME:]],FIND(" - ", Train_Log[[#This Row],[COURSE NAME:]]), 13)</f>
        <v/>
      </c>
      <c r="T380" s="62">
        <f>MID(E380, FIND(" - ", E380) + 3, LEN(E380)) &amp; "_" &amp; TEXT(F380, "yyyymmdd") &amp; "_" &amp; TEXT(H380, "yyyymmdd")</f>
        <v/>
      </c>
    </row>
    <row r="381">
      <c r="B381" s="38" t="inlineStr">
        <is>
          <t>EE190</t>
        </is>
      </c>
      <c r="C381" s="38" t="inlineStr">
        <is>
          <t>No</t>
        </is>
      </c>
      <c r="D381" s="46" t="inlineStr">
        <is>
          <t>5010288</t>
        </is>
      </c>
      <c r="E381" s="38" t="inlineStr">
        <is>
          <t>PHONES - LWOP</t>
        </is>
      </c>
      <c r="F381" s="53" t="n">
        <v>45421</v>
      </c>
      <c r="G381" s="53" t="n">
        <v>45421</v>
      </c>
      <c r="H381" s="53" t="n">
        <v>45421</v>
      </c>
      <c r="I381" s="54" t="n">
        <v>2</v>
      </c>
      <c r="J381" s="54" t="n">
        <v>2</v>
      </c>
      <c r="K381" s="45" t="inlineStr">
        <is>
          <t>TR 3</t>
        </is>
      </c>
      <c r="L381" s="45" t="inlineStr">
        <is>
          <t>TR 8</t>
        </is>
      </c>
      <c r="M381" s="38" t="inlineStr">
        <is>
          <t>--</t>
        </is>
      </c>
      <c r="N381" s="38" t="inlineStr">
        <is>
          <t>--</t>
        </is>
      </c>
      <c r="O381" s="38" t="inlineStr">
        <is>
          <t>JJH</t>
        </is>
      </c>
      <c r="P381" s="53" t="n"/>
      <c r="Q381" s="61">
        <f>IF(C381="Yes", 1, IF(C381="no", 0, IF(C381= "tardy", SUM(J381/I381),"")))</f>
        <v/>
      </c>
      <c r="R381" s="61">
        <f>LEFT(Train_Log[[#This Row],[COURSE NAME:]],FIND(" - ", Train_Log[[#This Row],[COURSE NAME:]]) -1)</f>
        <v/>
      </c>
      <c r="S381" s="61">
        <f>MID(Train_Log[[#This Row],[COURSE NAME:]],FIND(" - ", Train_Log[[#This Row],[COURSE NAME:]]), 13)</f>
        <v/>
      </c>
      <c r="T381" s="61">
        <f>MID(E381, FIND(" - ", E381) + 3, LEN(E381)) &amp; "_" &amp; TEXT(F381, "yyyymmdd") &amp; "_" &amp; TEXT(H381, "yyyymmdd")</f>
        <v/>
      </c>
    </row>
    <row r="382">
      <c r="B382" s="38" t="inlineStr">
        <is>
          <t>EE89</t>
        </is>
      </c>
      <c r="C382" s="38" t="inlineStr">
        <is>
          <t>No</t>
        </is>
      </c>
      <c r="D382" t="inlineStr">
        <is>
          <t>6240345</t>
        </is>
      </c>
      <c r="E382" s="38" t="inlineStr">
        <is>
          <t>RTR - EFORM SEPARATIONS TRAINING</t>
        </is>
      </c>
      <c r="F382" s="40" t="n">
        <v>45469</v>
      </c>
      <c r="G382" s="40" t="n">
        <v>45469</v>
      </c>
      <c r="H382" s="40" t="n">
        <v>45469</v>
      </c>
      <c r="I382" s="41" t="n">
        <v>3</v>
      </c>
      <c r="J382" s="41" t="n">
        <v>3</v>
      </c>
      <c r="K382" s="38" t="inlineStr">
        <is>
          <t>TR 2</t>
        </is>
      </c>
      <c r="L382" s="38" t="inlineStr">
        <is>
          <t>TR 1</t>
        </is>
      </c>
      <c r="M382" s="38" t="inlineStr">
        <is>
          <t>--</t>
        </is>
      </c>
      <c r="N382" s="38" t="inlineStr">
        <is>
          <t>--</t>
        </is>
      </c>
      <c r="O382" s="38" t="inlineStr">
        <is>
          <t>JJH</t>
        </is>
      </c>
      <c r="Q382" s="62">
        <f>IF(C382="Yes", 1, IF(C382="no", 0, IF(C382= "tardy", SUM(J382/I382),"")))</f>
        <v/>
      </c>
      <c r="R382" s="62">
        <f>LEFT(Train_Log[[#This Row],[COURSE NAME:]],FIND(" - ", Train_Log[[#This Row],[COURSE NAME:]]) -1)</f>
        <v/>
      </c>
      <c r="S382" s="62">
        <f>MID(Train_Log[[#This Row],[COURSE NAME:]],FIND(" - ", Train_Log[[#This Row],[COURSE NAME:]]), 13)</f>
        <v/>
      </c>
      <c r="T382" s="62">
        <f>MID(E382, FIND(" - ", E382) + 3, LEN(E382)) &amp; "_" &amp; TEXT(F382, "yyyymmdd") &amp; "_" &amp; TEXT(H382, "yyyymmdd")</f>
        <v/>
      </c>
    </row>
    <row r="383">
      <c r="B383" s="38" t="inlineStr">
        <is>
          <t>EE86</t>
        </is>
      </c>
      <c r="C383" s="38" t="inlineStr">
        <is>
          <t>tardy</t>
        </is>
      </c>
      <c r="D383" t="inlineStr">
        <is>
          <t>6554880</t>
        </is>
      </c>
      <c r="E383" s="38" t="inlineStr">
        <is>
          <t>LWOP - HCES SU FACILITATION TRAINING</t>
        </is>
      </c>
      <c r="F383" s="40" t="n">
        <v>45577</v>
      </c>
      <c r="G383" s="40" t="n">
        <v>45579</v>
      </c>
      <c r="H383" s="40" t="n">
        <v>45579</v>
      </c>
      <c r="I383" s="41" t="n">
        <v>8</v>
      </c>
      <c r="J383" s="41" t="n">
        <v>6.01</v>
      </c>
      <c r="K383" s="38" t="inlineStr">
        <is>
          <t>TR 8</t>
        </is>
      </c>
      <c r="L383" s="38" t="inlineStr">
        <is>
          <t>TR 8</t>
        </is>
      </c>
      <c r="M383" s="38" t="inlineStr">
        <is>
          <t>--</t>
        </is>
      </c>
      <c r="N383" s="38" t="inlineStr">
        <is>
          <t>--</t>
        </is>
      </c>
      <c r="O383" s="38" t="inlineStr">
        <is>
          <t>JJH</t>
        </is>
      </c>
      <c r="P383" s="59" t="n"/>
      <c r="Q383" s="62">
        <f>IF(C383="Yes", 1, IF(C383="no", 0, IF(C383= "tardy", SUM(J383/I383),"")))</f>
        <v/>
      </c>
      <c r="R383" s="62">
        <f>LEFT(Train_Log[[#This Row],[COURSE NAME:]],FIND(" - ", Train_Log[[#This Row],[COURSE NAME:]]) -1)</f>
        <v/>
      </c>
      <c r="S383" s="62">
        <f>MID(Train_Log[[#This Row],[COURSE NAME:]],FIND(" - ", Train_Log[[#This Row],[COURSE NAME:]]), 13)</f>
        <v/>
      </c>
      <c r="T383" s="62">
        <f>MID(E383, FIND(" - ", E383) + 3, LEN(E383)) &amp; "_" &amp; TEXT(F383, "yyyymmdd") &amp; "_" &amp; TEXT(H383, "yyyymmdd")</f>
        <v/>
      </c>
    </row>
    <row r="384">
      <c r="B384" s="38" t="inlineStr">
        <is>
          <t>EE131</t>
        </is>
      </c>
      <c r="C384" s="38" t="inlineStr">
        <is>
          <t>No</t>
        </is>
      </c>
      <c r="D384" t="inlineStr">
        <is>
          <t>6137108</t>
        </is>
      </c>
      <c r="E384" s="38" t="inlineStr">
        <is>
          <t>LWOP - HCES SUPERUSER TRAINING</t>
        </is>
      </c>
      <c r="F384" s="40" t="n">
        <v>45355</v>
      </c>
      <c r="G384" s="40" t="n">
        <v>45356</v>
      </c>
      <c r="H384" s="40" t="n">
        <v>45356</v>
      </c>
      <c r="I384" s="41" t="n">
        <v>2</v>
      </c>
      <c r="J384" s="41" t="n">
        <v>2</v>
      </c>
      <c r="K384" s="38" t="inlineStr">
        <is>
          <t>TR 6</t>
        </is>
      </c>
      <c r="L384" s="38" t="inlineStr">
        <is>
          <t>TR 3</t>
        </is>
      </c>
      <c r="M384" s="38" t="inlineStr">
        <is>
          <t>--</t>
        </is>
      </c>
      <c r="N384" s="38" t="inlineStr">
        <is>
          <t>--</t>
        </is>
      </c>
      <c r="O384" s="38" t="inlineStr">
        <is>
          <t>JJH</t>
        </is>
      </c>
      <c r="P384" s="59" t="n"/>
      <c r="Q384" s="62">
        <f>IF(C384="Yes", 1, IF(C384="no", 0, IF(C384= "tardy", SUM(J384/I384),"")))</f>
        <v/>
      </c>
      <c r="R384" s="62">
        <f>LEFT(Train_Log[[#This Row],[COURSE NAME:]],FIND(" - ", Train_Log[[#This Row],[COURSE NAME:]]) -1)</f>
        <v/>
      </c>
      <c r="S384" s="62">
        <f>MID(Train_Log[[#This Row],[COURSE NAME:]],FIND(" - ", Train_Log[[#This Row],[COURSE NAME:]]), 13)</f>
        <v/>
      </c>
      <c r="T384" s="62">
        <f>MID(E384, FIND(" - ", E384) + 3, LEN(E384)) &amp; "_" &amp; TEXT(F384, "yyyymmdd") &amp; "_" &amp; TEXT(H384, "yyyymmdd")</f>
        <v/>
      </c>
    </row>
    <row r="385">
      <c r="B385" s="38" t="inlineStr">
        <is>
          <t>EE66</t>
        </is>
      </c>
      <c r="C385" s="38" t="inlineStr">
        <is>
          <t>No</t>
        </is>
      </c>
      <c r="D385" t="inlineStr">
        <is>
          <t>4955874</t>
        </is>
      </c>
      <c r="E385" s="38" t="inlineStr">
        <is>
          <t>PHONES - EMPLOYMENT VERIFICATION</t>
        </is>
      </c>
      <c r="F385" s="40" t="n">
        <v>45417</v>
      </c>
      <c r="G385" s="40" t="n">
        <v>45417</v>
      </c>
      <c r="H385" s="40" t="n">
        <v>45417</v>
      </c>
      <c r="I385" s="41" t="n">
        <v>2</v>
      </c>
      <c r="J385" s="41" t="n">
        <v>2</v>
      </c>
      <c r="K385" s="38" t="inlineStr">
        <is>
          <t>TR 1</t>
        </is>
      </c>
      <c r="L385" s="38" t="inlineStr">
        <is>
          <t>TR 1</t>
        </is>
      </c>
      <c r="M385" s="38" t="inlineStr">
        <is>
          <t>--</t>
        </is>
      </c>
      <c r="N385" s="38" t="inlineStr">
        <is>
          <t>--</t>
        </is>
      </c>
      <c r="O385" s="38" t="inlineStr">
        <is>
          <t>JJH</t>
        </is>
      </c>
      <c r="P385" s="59" t="n"/>
      <c r="Q385" s="62">
        <f>IF(C385="Yes", 1, IF(C385="no", 0, IF(C385= "tardy", SUM(J385/I385),"")))</f>
        <v/>
      </c>
      <c r="R385" s="62">
        <f>LEFT(Train_Log[[#This Row],[COURSE NAME:]],FIND(" - ", Train_Log[[#This Row],[COURSE NAME:]]) -1)</f>
        <v/>
      </c>
      <c r="S385" s="62">
        <f>MID(Train_Log[[#This Row],[COURSE NAME:]],FIND(" - ", Train_Log[[#This Row],[COURSE NAME:]]), 13)</f>
        <v/>
      </c>
      <c r="T385" s="62">
        <f>MID(E385, FIND(" - ", E385) + 3, LEN(E385)) &amp; "_" &amp; TEXT(F385, "yyyymmdd") &amp; "_" &amp; TEXT(H385, "yyyymmdd")</f>
        <v/>
      </c>
    </row>
    <row r="386">
      <c r="B386" s="38" t="inlineStr">
        <is>
          <t>EE63</t>
        </is>
      </c>
      <c r="C386" s="38" t="inlineStr">
        <is>
          <t>No</t>
        </is>
      </c>
      <c r="D386" t="inlineStr">
        <is>
          <t>4291735</t>
        </is>
      </c>
      <c r="E386" s="38" t="inlineStr">
        <is>
          <t>PHONES - BENEFITS</t>
        </is>
      </c>
      <c r="F386" s="40" t="n">
        <v>45782</v>
      </c>
      <c r="G386" s="40" t="n">
        <v>45782</v>
      </c>
      <c r="H386" s="40" t="n">
        <v>45782</v>
      </c>
      <c r="I386" s="41" t="n">
        <v>2</v>
      </c>
      <c r="J386" s="41" t="n">
        <v>2</v>
      </c>
      <c r="K386" s="38" t="inlineStr">
        <is>
          <t>TR 3</t>
        </is>
      </c>
      <c r="L386" s="38" t="inlineStr">
        <is>
          <t>TR 1</t>
        </is>
      </c>
      <c r="M386" s="38" t="inlineStr">
        <is>
          <t>--</t>
        </is>
      </c>
      <c r="N386" s="38" t="inlineStr">
        <is>
          <t>--</t>
        </is>
      </c>
      <c r="O386" s="38" t="inlineStr">
        <is>
          <t>JJH</t>
        </is>
      </c>
      <c r="P386" s="59" t="n"/>
      <c r="Q386" s="62">
        <f>IF(C386="Yes", 1, IF(C386="no", 0, IF(C386= "tardy", SUM(J386/I386),"")))</f>
        <v/>
      </c>
      <c r="R386" s="62">
        <f>LEFT(Train_Log[[#This Row],[COURSE NAME:]],FIND(" - ", Train_Log[[#This Row],[COURSE NAME:]]) -1)</f>
        <v/>
      </c>
      <c r="S386" s="62">
        <f>MID(Train_Log[[#This Row],[COURSE NAME:]],FIND(" - ", Train_Log[[#This Row],[COURSE NAME:]]), 13)</f>
        <v/>
      </c>
      <c r="T386" s="62">
        <f>MID(E386, FIND(" - ", E386) + 3, LEN(E386)) &amp; "_" &amp; TEXT(F386, "yyyymmdd") &amp; "_" &amp; TEXT(H386, "yyyymmdd")</f>
        <v/>
      </c>
    </row>
    <row r="387">
      <c r="B387" s="38" t="inlineStr">
        <is>
          <t>EE142</t>
        </is>
      </c>
      <c r="C387" s="38" t="inlineStr">
        <is>
          <t>No</t>
        </is>
      </c>
      <c r="D387" s="39" t="inlineStr">
        <is>
          <t>4266454</t>
        </is>
      </c>
      <c r="E387" s="38" t="inlineStr">
        <is>
          <t>LWOP - HCES SU FACILITATION TRAINING</t>
        </is>
      </c>
      <c r="F387" s="44" t="n">
        <v>45528</v>
      </c>
      <c r="G387" s="40" t="n">
        <v>45528</v>
      </c>
      <c r="H387" s="44" t="n">
        <v>45528</v>
      </c>
      <c r="I387" s="41" t="n">
        <v>3</v>
      </c>
      <c r="J387" s="42" t="n">
        <v>3</v>
      </c>
      <c r="K387" s="38" t="inlineStr">
        <is>
          <t>TR 5</t>
        </is>
      </c>
      <c r="L387" s="38" t="inlineStr">
        <is>
          <t>TR 2</t>
        </is>
      </c>
      <c r="M387" s="38" t="inlineStr">
        <is>
          <t>--</t>
        </is>
      </c>
      <c r="N387" s="38" t="inlineStr">
        <is>
          <t>--</t>
        </is>
      </c>
      <c r="O387" s="38" t="inlineStr">
        <is>
          <t>JJH</t>
        </is>
      </c>
      <c r="Q387" s="62">
        <f>IF(C387="Yes", 1, IF(C387="no", 0, IF(C387= "tardy", SUM(J387/I387),"")))</f>
        <v/>
      </c>
      <c r="R387" s="62">
        <f>LEFT(Train_Log[[#This Row],[COURSE NAME:]],FIND(" - ", Train_Log[[#This Row],[COURSE NAME:]]) -1)</f>
        <v/>
      </c>
      <c r="S387" s="62">
        <f>MID(Train_Log[[#This Row],[COURSE NAME:]],FIND(" - ", Train_Log[[#This Row],[COURSE NAME:]]), 13)</f>
        <v/>
      </c>
      <c r="T387" s="62">
        <f>MID(E387, FIND(" - ", E387) + 3, LEN(E387)) &amp; "_" &amp; TEXT(F387, "yyyymmdd") &amp; "_" &amp; TEXT(H387, "yyyymmdd")</f>
        <v/>
      </c>
    </row>
    <row r="388">
      <c r="B388" s="38" t="inlineStr">
        <is>
          <t>EE147</t>
        </is>
      </c>
      <c r="C388" s="38" t="inlineStr">
        <is>
          <t>No</t>
        </is>
      </c>
      <c r="D388" s="39" t="inlineStr">
        <is>
          <t>6219266</t>
        </is>
      </c>
      <c r="E388" s="38" t="inlineStr">
        <is>
          <t>LWOP - HCES SUPERUSER TRAINING</t>
        </is>
      </c>
      <c r="F388" s="44" t="n">
        <v>45421</v>
      </c>
      <c r="G388" s="40" t="n">
        <v>45423</v>
      </c>
      <c r="H388" s="44" t="n">
        <v>45423</v>
      </c>
      <c r="I388" s="41" t="n">
        <v>2</v>
      </c>
      <c r="J388" s="42" t="n">
        <v>2</v>
      </c>
      <c r="K388" s="38" t="inlineStr">
        <is>
          <t>TR 3</t>
        </is>
      </c>
      <c r="L388" s="38" t="inlineStr">
        <is>
          <t>TR 4</t>
        </is>
      </c>
      <c r="M388" s="38" t="inlineStr">
        <is>
          <t>--</t>
        </is>
      </c>
      <c r="N388" s="38" t="inlineStr">
        <is>
          <t>--</t>
        </is>
      </c>
      <c r="O388" s="38" t="inlineStr">
        <is>
          <t>JJH</t>
        </is>
      </c>
      <c r="Q388" s="62">
        <f>IF(C388="Yes", 1, IF(C388="no", 0, IF(C388= "tardy", SUM(J388/I388),"")))</f>
        <v/>
      </c>
      <c r="R388" s="62">
        <f>LEFT(Train_Log[[#This Row],[COURSE NAME:]],FIND(" - ", Train_Log[[#This Row],[COURSE NAME:]]) -1)</f>
        <v/>
      </c>
      <c r="S388" s="62">
        <f>MID(Train_Log[[#This Row],[COURSE NAME:]],FIND(" - ", Train_Log[[#This Row],[COURSE NAME:]]), 13)</f>
        <v/>
      </c>
      <c r="T388" s="62">
        <f>MID(E388, FIND(" - ", E388) + 3, LEN(E388)) &amp; "_" &amp; TEXT(F388, "yyyymmdd") &amp; "_" &amp; TEXT(H388, "yyyymmdd")</f>
        <v/>
      </c>
    </row>
    <row r="389">
      <c r="B389" s="38" t="inlineStr">
        <is>
          <t>EE133</t>
        </is>
      </c>
      <c r="C389" s="38" t="inlineStr">
        <is>
          <t>No</t>
        </is>
      </c>
      <c r="D389" s="39" t="inlineStr">
        <is>
          <t>4381301</t>
        </is>
      </c>
      <c r="E389" s="38" t="inlineStr">
        <is>
          <t>PHONES - BENEFITS</t>
        </is>
      </c>
      <c r="F389" s="44" t="n">
        <v>45709</v>
      </c>
      <c r="G389" s="40" t="n">
        <v>45709</v>
      </c>
      <c r="H389" s="44" t="n">
        <v>45709</v>
      </c>
      <c r="I389" s="41" t="n">
        <v>3</v>
      </c>
      <c r="J389" s="43" t="n">
        <v>3</v>
      </c>
      <c r="K389" s="38" t="inlineStr">
        <is>
          <t>TR 5</t>
        </is>
      </c>
      <c r="L389" s="38" t="inlineStr">
        <is>
          <t>TR 6</t>
        </is>
      </c>
      <c r="M389" s="38" t="inlineStr">
        <is>
          <t>--</t>
        </is>
      </c>
      <c r="N389" s="38" t="inlineStr">
        <is>
          <t>--</t>
        </is>
      </c>
      <c r="O389" s="38" t="inlineStr">
        <is>
          <t>JJH</t>
        </is>
      </c>
      <c r="Q389" s="63">
        <f>IF(C389="Yes", 1, IF(C389="no", 0, IF(C389= "tardy", SUM(J389/I389),"")))</f>
        <v/>
      </c>
      <c r="R389" s="63">
        <f>LEFT(Train_Log[[#This Row],[COURSE NAME:]],FIND(" - ", Train_Log[[#This Row],[COURSE NAME:]]) -1)</f>
        <v/>
      </c>
      <c r="S389" s="63">
        <f>MID(Train_Log[[#This Row],[COURSE NAME:]],FIND(" - ", Train_Log[[#This Row],[COURSE NAME:]]), 13)</f>
        <v/>
      </c>
      <c r="T389" s="63">
        <f>MID(E389, FIND(" - ", E389) + 3, LEN(E389)) &amp; "_" &amp; TEXT(F389, "yyyymmdd") &amp; "_" &amp; TEXT(H389, "yyyymmdd")</f>
        <v/>
      </c>
    </row>
    <row r="390">
      <c r="B390" s="38" t="inlineStr">
        <is>
          <t>EE23</t>
        </is>
      </c>
      <c r="C390" s="38" t="inlineStr">
        <is>
          <t>No</t>
        </is>
      </c>
      <c r="D390" s="39" t="inlineStr">
        <is>
          <t>4833985</t>
        </is>
      </c>
      <c r="E390" s="38" t="inlineStr">
        <is>
          <t>OPTIONAL RETIREMENTS - MAILBUILD</t>
        </is>
      </c>
      <c r="F390" s="44" t="n">
        <v>45307</v>
      </c>
      <c r="G390" s="40" t="n">
        <v>45307</v>
      </c>
      <c r="H390" s="44" t="n">
        <v>45307</v>
      </c>
      <c r="I390" s="41" t="n">
        <v>8</v>
      </c>
      <c r="J390" s="42" t="n">
        <v>8</v>
      </c>
      <c r="K390" s="38" t="inlineStr">
        <is>
          <t>TR 5</t>
        </is>
      </c>
      <c r="L390" s="38" t="inlineStr">
        <is>
          <t>TR 10</t>
        </is>
      </c>
      <c r="M390" s="38" t="inlineStr">
        <is>
          <t>--</t>
        </is>
      </c>
      <c r="N390" s="38" t="inlineStr">
        <is>
          <t>--</t>
        </is>
      </c>
      <c r="O390" s="38" t="inlineStr">
        <is>
          <t>JJH</t>
        </is>
      </c>
      <c r="Q390" s="62">
        <f>IF(C390="Yes", 1, IF(C390="no", 0, IF(C390= "tardy", SUM(J390/I390),"")))</f>
        <v/>
      </c>
      <c r="R390" s="62">
        <f>LEFT(Train_Log[[#This Row],[COURSE NAME:]],FIND(" - ", Train_Log[[#This Row],[COURSE NAME:]]) -1)</f>
        <v/>
      </c>
      <c r="S390" s="62">
        <f>MID(Train_Log[[#This Row],[COURSE NAME:]],FIND(" - ", Train_Log[[#This Row],[COURSE NAME:]]), 13)</f>
        <v/>
      </c>
      <c r="T390" s="62">
        <f>MID(E390, FIND(" - ", E390) + 3, LEN(E390)) &amp; "_" &amp; TEXT(F390, "yyyymmdd") &amp; "_" &amp; TEXT(H390, "yyyymmdd")</f>
        <v/>
      </c>
    </row>
    <row r="391">
      <c r="B391" s="38" t="inlineStr">
        <is>
          <t>EE63</t>
        </is>
      </c>
      <c r="C391" s="38" t="inlineStr">
        <is>
          <t>No</t>
        </is>
      </c>
      <c r="D391" s="39" t="inlineStr">
        <is>
          <t>4291735</t>
        </is>
      </c>
      <c r="E391" s="38" t="inlineStr">
        <is>
          <t>OPTIONAL RETIREMENTS - MAILBUILD</t>
        </is>
      </c>
      <c r="F391" s="44" t="n">
        <v>45676</v>
      </c>
      <c r="G391" s="40" t="n">
        <v>45678</v>
      </c>
      <c r="H391" s="44" t="n">
        <v>45678</v>
      </c>
      <c r="I391" s="41" t="n">
        <v>2</v>
      </c>
      <c r="J391" s="42" t="n">
        <v>2</v>
      </c>
      <c r="K391" s="38" t="inlineStr">
        <is>
          <t>TR 9</t>
        </is>
      </c>
      <c r="L391" s="38" t="inlineStr">
        <is>
          <t>TR 4</t>
        </is>
      </c>
      <c r="M391" s="38" t="inlineStr">
        <is>
          <t>--</t>
        </is>
      </c>
      <c r="N391" s="38" t="inlineStr">
        <is>
          <t>--</t>
        </is>
      </c>
      <c r="O391" s="38" t="inlineStr">
        <is>
          <t>JJH</t>
        </is>
      </c>
      <c r="Q391" s="62">
        <f>IF(C391="Yes", 1, IF(C391="no", 0, IF(C391= "tardy", SUM(J391/I391),"")))</f>
        <v/>
      </c>
      <c r="R391" s="62">
        <f>LEFT(Train_Log[[#This Row],[COURSE NAME:]],FIND(" - ", Train_Log[[#This Row],[COURSE NAME:]]) -1)</f>
        <v/>
      </c>
      <c r="S391" s="62">
        <f>MID(Train_Log[[#This Row],[COURSE NAME:]],FIND(" - ", Train_Log[[#This Row],[COURSE NAME:]]), 13)</f>
        <v/>
      </c>
      <c r="T391" s="62">
        <f>MID(E391, FIND(" - ", E391) + 3, LEN(E391)) &amp; "_" &amp; TEXT(F391, "yyyymmdd") &amp; "_" &amp; TEXT(H391, "yyyymmdd")</f>
        <v/>
      </c>
    </row>
    <row r="392">
      <c r="B392" s="38" t="inlineStr">
        <is>
          <t>EE39</t>
        </is>
      </c>
      <c r="C392" s="38" t="inlineStr">
        <is>
          <t>No</t>
        </is>
      </c>
      <c r="D392" s="39" t="inlineStr">
        <is>
          <t>4903091</t>
        </is>
      </c>
      <c r="E392" s="38" t="inlineStr">
        <is>
          <t>PHONES - BENEFITS</t>
        </is>
      </c>
      <c r="F392" s="44" t="n">
        <v>45718</v>
      </c>
      <c r="G392" s="40" t="n">
        <v>45718</v>
      </c>
      <c r="H392" s="44" t="n">
        <v>45718</v>
      </c>
      <c r="I392" s="41" t="n">
        <v>3</v>
      </c>
      <c r="J392" s="42" t="n">
        <v>3</v>
      </c>
      <c r="K392" s="38" t="inlineStr">
        <is>
          <t>TR 1</t>
        </is>
      </c>
      <c r="L392" s="38" t="inlineStr">
        <is>
          <t>TR 6</t>
        </is>
      </c>
      <c r="M392" s="38" t="inlineStr">
        <is>
          <t>--</t>
        </is>
      </c>
      <c r="N392" s="38" t="inlineStr">
        <is>
          <t>--</t>
        </is>
      </c>
      <c r="O392" s="38" t="inlineStr">
        <is>
          <t>JJH</t>
        </is>
      </c>
      <c r="Q392" s="62">
        <f>IF(C392="Yes", 1, IF(C392="no", 0, IF(C392= "tardy", SUM(J392/I392),"")))</f>
        <v/>
      </c>
      <c r="R392" s="62">
        <f>LEFT(Train_Log[[#This Row],[COURSE NAME:]],FIND(" - ", Train_Log[[#This Row],[COURSE NAME:]]) -1)</f>
        <v/>
      </c>
      <c r="S392" s="62">
        <f>MID(Train_Log[[#This Row],[COURSE NAME:]],FIND(" - ", Train_Log[[#This Row],[COURSE NAME:]]), 13)</f>
        <v/>
      </c>
      <c r="T392" s="62">
        <f>MID(E392, FIND(" - ", E392) + 3, LEN(E392)) &amp; "_" &amp; TEXT(F392, "yyyymmdd") &amp; "_" &amp; TEXT(H392, "yyyymmdd")</f>
        <v/>
      </c>
    </row>
    <row r="393">
      <c r="B393" s="38" t="inlineStr">
        <is>
          <t>EE1</t>
        </is>
      </c>
      <c r="C393" s="38" t="inlineStr">
        <is>
          <t>No</t>
        </is>
      </c>
      <c r="D393" s="39" t="inlineStr">
        <is>
          <t>6681950</t>
        </is>
      </c>
      <c r="E393" s="38" t="inlineStr">
        <is>
          <t>LWOP - HCES SU FACILITATION TRAINING</t>
        </is>
      </c>
      <c r="F393" s="44" t="n">
        <v>45613</v>
      </c>
      <c r="G393" s="40" t="n">
        <v>45613</v>
      </c>
      <c r="H393" s="44" t="n">
        <v>45613</v>
      </c>
      <c r="I393" s="41" t="n">
        <v>2</v>
      </c>
      <c r="J393" s="42" t="n">
        <v>2</v>
      </c>
      <c r="K393" s="38" t="inlineStr">
        <is>
          <t>TR 7</t>
        </is>
      </c>
      <c r="L393" s="38" t="inlineStr">
        <is>
          <t>TR 8</t>
        </is>
      </c>
      <c r="M393" s="38" t="inlineStr">
        <is>
          <t>--</t>
        </is>
      </c>
      <c r="N393" s="38" t="inlineStr">
        <is>
          <t>--</t>
        </is>
      </c>
      <c r="O393" s="38" t="inlineStr">
        <is>
          <t>JJH</t>
        </is>
      </c>
      <c r="Q393" s="62">
        <f>IF(C393="Yes", 1, IF(C393="no", 0, IF(C393= "tardy", SUM(J393/I393),"")))</f>
        <v/>
      </c>
      <c r="R393" s="62">
        <f>LEFT(Train_Log[[#This Row],[COURSE NAME:]],FIND(" - ", Train_Log[[#This Row],[COURSE NAME:]]) -1)</f>
        <v/>
      </c>
      <c r="S393" s="62">
        <f>MID(Train_Log[[#This Row],[COURSE NAME:]],FIND(" - ", Train_Log[[#This Row],[COURSE NAME:]]), 13)</f>
        <v/>
      </c>
      <c r="T393" s="62">
        <f>MID(E393, FIND(" - ", E393) + 3, LEN(E393)) &amp; "_" &amp; TEXT(F393, "yyyymmdd") &amp; "_" &amp; TEXT(H393, "yyyymmdd")</f>
        <v/>
      </c>
    </row>
    <row r="394">
      <c r="B394" s="38" t="inlineStr">
        <is>
          <t>EE16</t>
        </is>
      </c>
      <c r="C394" s="38" t="inlineStr">
        <is>
          <t>tardy</t>
        </is>
      </c>
      <c r="D394" s="39" t="inlineStr">
        <is>
          <t>4392986</t>
        </is>
      </c>
      <c r="E394" s="38" t="inlineStr">
        <is>
          <t>PHONES - LWOP</t>
        </is>
      </c>
      <c r="F394" s="44" t="n">
        <v>45585</v>
      </c>
      <c r="G394" s="40" t="n">
        <v>45585</v>
      </c>
      <c r="H394" s="44" t="n">
        <v>45585</v>
      </c>
      <c r="I394" s="41" t="n">
        <v>2</v>
      </c>
      <c r="J394" s="42" t="n">
        <v>1.72</v>
      </c>
      <c r="K394" s="38" t="inlineStr">
        <is>
          <t>TR 9</t>
        </is>
      </c>
      <c r="L394" s="38" t="inlineStr">
        <is>
          <t>TR 7</t>
        </is>
      </c>
      <c r="M394" s="38" t="inlineStr">
        <is>
          <t>--</t>
        </is>
      </c>
      <c r="N394" s="38" t="inlineStr">
        <is>
          <t>--</t>
        </is>
      </c>
      <c r="O394" s="38" t="inlineStr">
        <is>
          <t>JJH</t>
        </is>
      </c>
      <c r="Q394" s="62">
        <f>IF(C394="Yes", 1, IF(C394="no", 0, IF(C394= "tardy", SUM(J394/I394),"")))</f>
        <v/>
      </c>
      <c r="R394" s="62">
        <f>LEFT(Train_Log[[#This Row],[COURSE NAME:]],FIND(" - ", Train_Log[[#This Row],[COURSE NAME:]]) -1)</f>
        <v/>
      </c>
      <c r="S394" s="62">
        <f>MID(Train_Log[[#This Row],[COURSE NAME:]],FIND(" - ", Train_Log[[#This Row],[COURSE NAME:]]), 13)</f>
        <v/>
      </c>
      <c r="T394" s="62">
        <f>MID(E394, FIND(" - ", E394) + 3, LEN(E394)) &amp; "_" &amp; TEXT(F394, "yyyymmdd") &amp; "_" &amp; TEXT(H394, "yyyymmdd")</f>
        <v/>
      </c>
    </row>
    <row r="395">
      <c r="B395" s="38" t="inlineStr">
        <is>
          <t>EE180</t>
        </is>
      </c>
      <c r="C395" s="38" t="inlineStr">
        <is>
          <t>No</t>
        </is>
      </c>
      <c r="D395" s="39" t="inlineStr">
        <is>
          <t>4002398</t>
        </is>
      </c>
      <c r="E395" s="38" t="inlineStr">
        <is>
          <t>LWOP - HCES SUPERUSER TRAINING</t>
        </is>
      </c>
      <c r="F395" s="44" t="n">
        <v>45768</v>
      </c>
      <c r="G395" s="40" t="n">
        <v>45772</v>
      </c>
      <c r="H395" s="44" t="n">
        <v>45772</v>
      </c>
      <c r="I395" s="41" t="n">
        <v>2</v>
      </c>
      <c r="J395" s="42" t="n">
        <v>2</v>
      </c>
      <c r="K395" s="38" t="inlineStr">
        <is>
          <t>TR 9</t>
        </is>
      </c>
      <c r="L395" s="38" t="inlineStr">
        <is>
          <t>TR 3</t>
        </is>
      </c>
      <c r="M395" s="38" t="inlineStr">
        <is>
          <t>--</t>
        </is>
      </c>
      <c r="N395" s="38" t="inlineStr">
        <is>
          <t>--</t>
        </is>
      </c>
      <c r="O395" s="38" t="inlineStr">
        <is>
          <t>JJH</t>
        </is>
      </c>
      <c r="Q395" s="62">
        <f>IF(C395="Yes", 1, IF(C395="no", 0, IF(C395= "tardy", SUM(J395/I395),"")))</f>
        <v/>
      </c>
      <c r="R395" s="62">
        <f>LEFT(Train_Log[[#This Row],[COURSE NAME:]],FIND(" - ", Train_Log[[#This Row],[COURSE NAME:]]) -1)</f>
        <v/>
      </c>
      <c r="S395" s="62">
        <f>MID(Train_Log[[#This Row],[COURSE NAME:]],FIND(" - ", Train_Log[[#This Row],[COURSE NAME:]]), 13)</f>
        <v/>
      </c>
      <c r="T395" s="62">
        <f>MID(E395, FIND(" - ", E395) + 3, LEN(E395)) &amp; "_" &amp; TEXT(F395, "yyyymmdd") &amp; "_" &amp; TEXT(H395, "yyyymmdd")</f>
        <v/>
      </c>
    </row>
    <row r="396">
      <c r="B396" s="38" t="inlineStr">
        <is>
          <t>EE164</t>
        </is>
      </c>
      <c r="C396" s="38" t="inlineStr">
        <is>
          <t>No</t>
        </is>
      </c>
      <c r="D396" s="39" t="inlineStr">
        <is>
          <t>5104733</t>
        </is>
      </c>
      <c r="E396" s="38" t="inlineStr">
        <is>
          <t>LWOP - HCES SU FACILITATION TRAINING</t>
        </is>
      </c>
      <c r="F396" s="44" t="n">
        <v>45375</v>
      </c>
      <c r="G396" s="40" t="n">
        <v>45377</v>
      </c>
      <c r="H396" s="44" t="n">
        <v>45377</v>
      </c>
      <c r="I396" s="41" t="n">
        <v>4</v>
      </c>
      <c r="J396" s="42" t="n">
        <v>4</v>
      </c>
      <c r="K396" s="38" t="inlineStr">
        <is>
          <t>TR 3</t>
        </is>
      </c>
      <c r="L396" s="38" t="inlineStr">
        <is>
          <t>TR 4</t>
        </is>
      </c>
      <c r="M396" s="38" t="inlineStr">
        <is>
          <t>--</t>
        </is>
      </c>
      <c r="N396" s="38" t="inlineStr">
        <is>
          <t>--</t>
        </is>
      </c>
      <c r="O396" s="38" t="inlineStr">
        <is>
          <t>JJH</t>
        </is>
      </c>
      <c r="Q396" s="62">
        <f>IF(C396="Yes", 1, IF(C396="no", 0, IF(C396= "tardy", SUM(J396/I396),"")))</f>
        <v/>
      </c>
      <c r="R396" s="62">
        <f>LEFT(Train_Log[[#This Row],[COURSE NAME:]],FIND(" - ", Train_Log[[#This Row],[COURSE NAME:]]) -1)</f>
        <v/>
      </c>
      <c r="S396" s="62">
        <f>MID(Train_Log[[#This Row],[COURSE NAME:]],FIND(" - ", Train_Log[[#This Row],[COURSE NAME:]]), 13)</f>
        <v/>
      </c>
      <c r="T396" s="62">
        <f>MID(E396, FIND(" - ", E396) + 3, LEN(E396)) &amp; "_" &amp; TEXT(F396, "yyyymmdd") &amp; "_" &amp; TEXT(H396, "yyyymmdd")</f>
        <v/>
      </c>
    </row>
    <row r="397">
      <c r="B397" s="38" t="inlineStr">
        <is>
          <t>EE75</t>
        </is>
      </c>
      <c r="C397" s="38" t="inlineStr">
        <is>
          <t>No</t>
        </is>
      </c>
      <c r="D397" s="39" t="inlineStr">
        <is>
          <t>5530217</t>
        </is>
      </c>
      <c r="E397" s="38" t="inlineStr">
        <is>
          <t>RTR - EFORM SEPARATIONS TRAINING</t>
        </is>
      </c>
      <c r="F397" s="44" t="n">
        <v>45621</v>
      </c>
      <c r="G397" s="40" t="n">
        <v>45622</v>
      </c>
      <c r="H397" s="44" t="n">
        <v>45622</v>
      </c>
      <c r="I397" s="41" t="n">
        <v>3</v>
      </c>
      <c r="J397" s="42" t="n">
        <v>3</v>
      </c>
      <c r="K397" s="38" t="inlineStr">
        <is>
          <t>TR 6</t>
        </is>
      </c>
      <c r="L397" s="38" t="inlineStr">
        <is>
          <t>TR 8</t>
        </is>
      </c>
      <c r="M397" s="38" t="inlineStr">
        <is>
          <t>--</t>
        </is>
      </c>
      <c r="N397" s="38" t="inlineStr">
        <is>
          <t>--</t>
        </is>
      </c>
      <c r="O397" s="38" t="inlineStr">
        <is>
          <t>JJH</t>
        </is>
      </c>
      <c r="Q397" s="62">
        <f>IF(C397="Yes", 1, IF(C397="no", 0, IF(C397= "tardy", SUM(J397/I397),"")))</f>
        <v/>
      </c>
      <c r="R397" s="62">
        <f>LEFT(Train_Log[[#This Row],[COURSE NAME:]],FIND(" - ", Train_Log[[#This Row],[COURSE NAME:]]) -1)</f>
        <v/>
      </c>
      <c r="S397" s="62">
        <f>MID(Train_Log[[#This Row],[COURSE NAME:]],FIND(" - ", Train_Log[[#This Row],[COURSE NAME:]]), 13)</f>
        <v/>
      </c>
      <c r="T397" s="62">
        <f>MID(E397, FIND(" - ", E397) + 3, LEN(E397)) &amp; "_" &amp; TEXT(F397, "yyyymmdd") &amp; "_" &amp; TEXT(H397, "yyyymmdd")</f>
        <v/>
      </c>
    </row>
    <row r="398">
      <c r="B398" s="38" t="inlineStr">
        <is>
          <t>EE70</t>
        </is>
      </c>
      <c r="C398" s="38" t="inlineStr">
        <is>
          <t>No</t>
        </is>
      </c>
      <c r="D398" s="39" t="inlineStr">
        <is>
          <t>4423630</t>
        </is>
      </c>
      <c r="E398" s="38" t="inlineStr">
        <is>
          <t>SUPPORT - TRAINING - PTSP TRAINING</t>
        </is>
      </c>
      <c r="F398" s="44" t="n">
        <v>45375</v>
      </c>
      <c r="G398" s="40" t="n">
        <v>45375</v>
      </c>
      <c r="H398" s="44" t="n">
        <v>45375</v>
      </c>
      <c r="I398" s="41" t="n">
        <v>8</v>
      </c>
      <c r="J398" s="42" t="n">
        <v>8</v>
      </c>
      <c r="K398" s="38" t="inlineStr">
        <is>
          <t>TR 2</t>
        </is>
      </c>
      <c r="L398" s="38" t="inlineStr">
        <is>
          <t>TR 3</t>
        </is>
      </c>
      <c r="M398" s="38" t="inlineStr">
        <is>
          <t>--</t>
        </is>
      </c>
      <c r="N398" s="38" t="inlineStr">
        <is>
          <t>--</t>
        </is>
      </c>
      <c r="O398" s="38" t="inlineStr">
        <is>
          <t>JJH</t>
        </is>
      </c>
      <c r="Q398" s="62">
        <f>IF(C398="Yes", 1, IF(C398="no", 0, IF(C398= "tardy", SUM(J398/I398),"")))</f>
        <v/>
      </c>
      <c r="R398" s="62">
        <f>LEFT(Train_Log[[#This Row],[COURSE NAME:]],FIND(" - ", Train_Log[[#This Row],[COURSE NAME:]]) -1)</f>
        <v/>
      </c>
      <c r="S398" s="62">
        <f>MID(Train_Log[[#This Row],[COURSE NAME:]],FIND(" - ", Train_Log[[#This Row],[COURSE NAME:]]), 13)</f>
        <v/>
      </c>
      <c r="T398" s="62">
        <f>MID(E398, FIND(" - ", E398) + 3, LEN(E398)) &amp; "_" &amp; TEXT(F398, "yyyymmdd") &amp; "_" &amp; TEXT(H398, "yyyymmdd")</f>
        <v/>
      </c>
    </row>
    <row r="399">
      <c r="B399" s="38" t="inlineStr">
        <is>
          <t>EE28</t>
        </is>
      </c>
      <c r="C399" s="38" t="inlineStr">
        <is>
          <t>No</t>
        </is>
      </c>
      <c r="D399" t="inlineStr">
        <is>
          <t>4924594</t>
        </is>
      </c>
      <c r="E399" s="38" t="inlineStr">
        <is>
          <t>PHONES - LWOP</t>
        </is>
      </c>
      <c r="F399" s="40" t="n">
        <v>45759</v>
      </c>
      <c r="G399" s="40" t="n">
        <v>45760</v>
      </c>
      <c r="H399" s="40" t="n">
        <v>45760</v>
      </c>
      <c r="I399" s="41" t="n">
        <v>2</v>
      </c>
      <c r="J399" s="41" t="n">
        <v>2</v>
      </c>
      <c r="K399" s="38" t="inlineStr">
        <is>
          <t>TR 9</t>
        </is>
      </c>
      <c r="L399" s="38" t="inlineStr">
        <is>
          <t>TR 6</t>
        </is>
      </c>
      <c r="M399" s="38" t="inlineStr">
        <is>
          <t>--</t>
        </is>
      </c>
      <c r="N399" s="38" t="inlineStr">
        <is>
          <t>--</t>
        </is>
      </c>
      <c r="O399" s="38" t="inlineStr">
        <is>
          <t>JJH</t>
        </is>
      </c>
      <c r="Q399" s="62">
        <f>IF(C399="Yes", 1, IF(C399="no", 0, IF(C399= "tardy", SUM(J399/I399),"")))</f>
        <v/>
      </c>
      <c r="R399" s="62">
        <f>LEFT(Train_Log[[#This Row],[COURSE NAME:]],FIND(" - ", Train_Log[[#This Row],[COURSE NAME:]]) -1)</f>
        <v/>
      </c>
      <c r="S399" s="62">
        <f>MID(Train_Log[[#This Row],[COURSE NAME:]],FIND(" - ", Train_Log[[#This Row],[COURSE NAME:]]), 13)</f>
        <v/>
      </c>
      <c r="T399" s="62">
        <f>MID(E399, FIND(" - ", E399) + 3, LEN(E399)) &amp; "_" &amp; TEXT(F399, "yyyymmdd") &amp; "_" &amp; TEXT(H399, "yyyymmdd")</f>
        <v/>
      </c>
    </row>
    <row r="400">
      <c r="B400" s="38" t="inlineStr">
        <is>
          <t>EE54</t>
        </is>
      </c>
      <c r="C400" s="38" t="inlineStr">
        <is>
          <t>No</t>
        </is>
      </c>
      <c r="D400" t="inlineStr">
        <is>
          <t>4330511</t>
        </is>
      </c>
      <c r="E400" s="38" t="inlineStr">
        <is>
          <t>OPTIONAL RETIREMENTS - MAILBUILD</t>
        </is>
      </c>
      <c r="F400" s="40" t="n">
        <v>45614</v>
      </c>
      <c r="G400" s="40" t="n">
        <v>45615</v>
      </c>
      <c r="H400" s="40" t="n">
        <v>45615</v>
      </c>
      <c r="I400" s="41" t="n">
        <v>2</v>
      </c>
      <c r="J400" s="41" t="n">
        <v>2</v>
      </c>
      <c r="K400" s="38" t="inlineStr">
        <is>
          <t>TR 2</t>
        </is>
      </c>
      <c r="L400" s="38" t="inlineStr">
        <is>
          <t>TR 3</t>
        </is>
      </c>
      <c r="M400" s="38" t="inlineStr">
        <is>
          <t>--</t>
        </is>
      </c>
      <c r="N400" s="38" t="inlineStr">
        <is>
          <t>--</t>
        </is>
      </c>
      <c r="O400" s="38" t="inlineStr">
        <is>
          <t>JJH</t>
        </is>
      </c>
      <c r="P400" s="50" t="n"/>
      <c r="Q400" s="62">
        <f>IF(C400="Yes", 1, IF(C400="no", 0, IF(C400= "tardy", SUM(J400/I400),"")))</f>
        <v/>
      </c>
      <c r="R400" s="62">
        <f>LEFT(Train_Log[[#This Row],[COURSE NAME:]],FIND(" - ", Train_Log[[#This Row],[COURSE NAME:]]) -1)</f>
        <v/>
      </c>
      <c r="S400" s="62">
        <f>MID(Train_Log[[#This Row],[COURSE NAME:]],FIND(" - ", Train_Log[[#This Row],[COURSE NAME:]]), 13)</f>
        <v/>
      </c>
      <c r="T400" s="62">
        <f>MID(E400, FIND(" - ", E400) + 3, LEN(E400)) &amp; "_" &amp; TEXT(F400, "yyyymmdd") &amp; "_" &amp; TEXT(H400, "yyyymmdd")</f>
        <v/>
      </c>
    </row>
    <row r="401">
      <c r="B401" s="38" t="inlineStr">
        <is>
          <t>EE176</t>
        </is>
      </c>
      <c r="C401" s="38" t="inlineStr">
        <is>
          <t>No</t>
        </is>
      </c>
      <c r="D401" s="39" t="inlineStr">
        <is>
          <t>5568308</t>
        </is>
      </c>
      <c r="E401" s="38" t="inlineStr">
        <is>
          <t>RTR - EFORM SEPARATIONS TRAINING</t>
        </is>
      </c>
      <c r="F401" s="40" t="n">
        <v>45340</v>
      </c>
      <c r="G401" s="40" t="n">
        <v>45340</v>
      </c>
      <c r="H401" s="40" t="n">
        <v>45340</v>
      </c>
      <c r="I401" s="41" t="n">
        <v>3</v>
      </c>
      <c r="J401" s="41" t="n">
        <v>3</v>
      </c>
      <c r="K401" s="38" t="inlineStr">
        <is>
          <t>TR 3</t>
        </is>
      </c>
      <c r="L401" s="38" t="inlineStr">
        <is>
          <t>TR 2</t>
        </is>
      </c>
      <c r="M401" s="38" t="inlineStr">
        <is>
          <t>--</t>
        </is>
      </c>
      <c r="N401" s="38" t="inlineStr">
        <is>
          <t>--</t>
        </is>
      </c>
      <c r="O401" s="38" t="inlineStr">
        <is>
          <t>JJH</t>
        </is>
      </c>
      <c r="P401" s="44" t="n"/>
      <c r="Q401" s="62">
        <f>IF(C401="Yes", 1, IF(C401="no", 0, IF(C401= "tardy", SUM(J401/I401),"")))</f>
        <v/>
      </c>
      <c r="R401" s="62">
        <f>LEFT(Train_Log[[#This Row],[COURSE NAME:]],FIND(" - ", Train_Log[[#This Row],[COURSE NAME:]]) -1)</f>
        <v/>
      </c>
      <c r="S401" s="62">
        <f>MID(Train_Log[[#This Row],[COURSE NAME:]],FIND(" - ", Train_Log[[#This Row],[COURSE NAME:]]), 13)</f>
        <v/>
      </c>
      <c r="T401" s="62">
        <f>MID(E401, FIND(" - ", E401) + 3, LEN(E401)) &amp; "_" &amp; TEXT(F401, "yyyymmdd") &amp; "_" &amp; TEXT(H401, "yyyymmdd")</f>
        <v/>
      </c>
    </row>
    <row r="402">
      <c r="B402" s="38" t="inlineStr">
        <is>
          <t>EE183</t>
        </is>
      </c>
      <c r="C402" s="38" t="inlineStr">
        <is>
          <t>No</t>
        </is>
      </c>
      <c r="D402" s="46" t="inlineStr">
        <is>
          <t>6049360</t>
        </is>
      </c>
      <c r="E402" s="38" t="inlineStr">
        <is>
          <t>SUPPORT - TRAINING - PTSP TRAINING</t>
        </is>
      </c>
      <c r="F402" s="53" t="n">
        <v>45663</v>
      </c>
      <c r="G402" s="53" t="n">
        <v>45664</v>
      </c>
      <c r="H402" s="53" t="n">
        <v>45664</v>
      </c>
      <c r="I402" s="54" t="n">
        <v>3</v>
      </c>
      <c r="J402" s="55" t="n">
        <v>3</v>
      </c>
      <c r="K402" s="45" t="inlineStr">
        <is>
          <t>TR 5</t>
        </is>
      </c>
      <c r="L402" s="45" t="inlineStr">
        <is>
          <t>TR 3</t>
        </is>
      </c>
      <c r="M402" s="38" t="inlineStr">
        <is>
          <t>--</t>
        </is>
      </c>
      <c r="N402" s="38" t="inlineStr">
        <is>
          <t>--</t>
        </is>
      </c>
      <c r="O402" s="38" t="inlineStr">
        <is>
          <t>JJH</t>
        </is>
      </c>
      <c r="P402" s="53" t="n"/>
      <c r="Q402" s="61">
        <f>IF(C402="Yes", 1, IF(C402="no", 0, IF(C402= "tardy", SUM(J402/I402),"")))</f>
        <v/>
      </c>
      <c r="R402" s="61">
        <f>LEFT(Train_Log[[#This Row],[COURSE NAME:]],FIND(" - ", Train_Log[[#This Row],[COURSE NAME:]]) -1)</f>
        <v/>
      </c>
      <c r="S402" s="61">
        <f>MID(Train_Log[[#This Row],[COURSE NAME:]],FIND(" - ", Train_Log[[#This Row],[COURSE NAME:]]), 13)</f>
        <v/>
      </c>
      <c r="T402" s="61">
        <f>MID(E402, FIND(" - ", E402) + 3, LEN(E402)) &amp; "_" &amp; TEXT(F402, "yyyymmdd") &amp; "_" &amp; TEXT(H402, "yyyymmdd")</f>
        <v/>
      </c>
    </row>
    <row r="403">
      <c r="B403" s="38" t="inlineStr">
        <is>
          <t>EE8</t>
        </is>
      </c>
      <c r="C403" s="38" t="inlineStr">
        <is>
          <t>No</t>
        </is>
      </c>
      <c r="D403" t="inlineStr">
        <is>
          <t>4429895</t>
        </is>
      </c>
      <c r="E403" s="38" t="inlineStr">
        <is>
          <t>LWOP - HCES SU FACILITATION TRAINING</t>
        </is>
      </c>
      <c r="F403" s="40" t="n">
        <v>45762</v>
      </c>
      <c r="G403" s="40" t="n">
        <v>45764</v>
      </c>
      <c r="H403" s="40" t="n">
        <v>45764</v>
      </c>
      <c r="I403" s="41" t="n">
        <v>2</v>
      </c>
      <c r="J403" s="41" t="n">
        <v>2</v>
      </c>
      <c r="K403" s="38" t="inlineStr">
        <is>
          <t>TR 2</t>
        </is>
      </c>
      <c r="L403" s="38" t="inlineStr">
        <is>
          <t>TR 8</t>
        </is>
      </c>
      <c r="M403" s="38" t="inlineStr">
        <is>
          <t>--</t>
        </is>
      </c>
      <c r="N403" s="38" t="inlineStr">
        <is>
          <t>--</t>
        </is>
      </c>
      <c r="O403" s="38" t="inlineStr">
        <is>
          <t>JJH</t>
        </is>
      </c>
      <c r="Q403" s="62">
        <f>IF(C403="Yes", 1, IF(C403="no", 0, IF(C403= "tardy", SUM(J403/I403),"")))</f>
        <v/>
      </c>
      <c r="R403" s="62">
        <f>LEFT(Train_Log[[#This Row],[COURSE NAME:]],FIND(" - ", Train_Log[[#This Row],[COURSE NAME:]]) -1)</f>
        <v/>
      </c>
      <c r="S403" s="62">
        <f>MID(Train_Log[[#This Row],[COURSE NAME:]],FIND(" - ", Train_Log[[#This Row],[COURSE NAME:]]), 13)</f>
        <v/>
      </c>
      <c r="T403" s="62">
        <f>MID(E403, FIND(" - ", E403) + 3, LEN(E403)) &amp; "_" &amp; TEXT(F403, "yyyymmdd") &amp; "_" &amp; TEXT(H403, "yyyymmdd")</f>
        <v/>
      </c>
    </row>
    <row r="404">
      <c r="B404" s="38" t="inlineStr">
        <is>
          <t>EE27</t>
        </is>
      </c>
      <c r="C404" s="38" t="inlineStr">
        <is>
          <t>tardy</t>
        </is>
      </c>
      <c r="D404" t="inlineStr">
        <is>
          <t>5759593</t>
        </is>
      </c>
      <c r="E404" s="38" t="inlineStr">
        <is>
          <t>PHONES - LWOP</t>
        </is>
      </c>
      <c r="F404" s="40" t="n">
        <v>45423</v>
      </c>
      <c r="G404" s="40" t="n">
        <v>45423</v>
      </c>
      <c r="H404" s="40" t="n">
        <v>45423</v>
      </c>
      <c r="I404" s="41" t="n">
        <v>2</v>
      </c>
      <c r="J404" s="41" t="n">
        <v>1.1</v>
      </c>
      <c r="K404" s="38" t="inlineStr">
        <is>
          <t>TR 7</t>
        </is>
      </c>
      <c r="L404" s="38" t="inlineStr">
        <is>
          <t>TR 6</t>
        </is>
      </c>
      <c r="M404" s="38" t="inlineStr">
        <is>
          <t>--</t>
        </is>
      </c>
      <c r="N404" s="38" t="inlineStr">
        <is>
          <t>--</t>
        </is>
      </c>
      <c r="O404" s="38" t="inlineStr">
        <is>
          <t>JJH</t>
        </is>
      </c>
      <c r="P404" s="59" t="n"/>
      <c r="Q404" s="62">
        <f>IF(C404="Yes", 1, IF(C404="no", 0, IF(C404= "tardy", SUM(J404/I404),"")))</f>
        <v/>
      </c>
      <c r="R404" s="62">
        <f>LEFT(Train_Log[[#This Row],[COURSE NAME:]],FIND(" - ", Train_Log[[#This Row],[COURSE NAME:]]) -1)</f>
        <v/>
      </c>
      <c r="S404" s="62">
        <f>MID(Train_Log[[#This Row],[COURSE NAME:]],FIND(" - ", Train_Log[[#This Row],[COURSE NAME:]]), 13)</f>
        <v/>
      </c>
      <c r="T404" s="62">
        <f>MID(E404, FIND(" - ", E404) + 3, LEN(E404)) &amp; "_" &amp; TEXT(F404, "yyyymmdd") &amp; "_" &amp; TEXT(H404, "yyyymmdd")</f>
        <v/>
      </c>
    </row>
    <row r="405">
      <c r="B405" s="38" t="inlineStr">
        <is>
          <t>EE176</t>
        </is>
      </c>
      <c r="C405" s="38" t="inlineStr">
        <is>
          <t>tardy</t>
        </is>
      </c>
      <c r="D405" t="inlineStr">
        <is>
          <t>5568308</t>
        </is>
      </c>
      <c r="E405" s="38" t="inlineStr">
        <is>
          <t>PHONES - EMPLOYMENT VERIFICATION</t>
        </is>
      </c>
      <c r="F405" s="40" t="n">
        <v>45564</v>
      </c>
      <c r="G405" s="40" t="n">
        <v>45564</v>
      </c>
      <c r="H405" s="40" t="n">
        <v>45564</v>
      </c>
      <c r="I405" s="41" t="n">
        <v>2</v>
      </c>
      <c r="J405" s="41" t="n">
        <v>1.16</v>
      </c>
      <c r="K405" s="38" t="inlineStr">
        <is>
          <t>TR 8</t>
        </is>
      </c>
      <c r="L405" s="38" t="inlineStr">
        <is>
          <t>TR 3</t>
        </is>
      </c>
      <c r="M405" s="38" t="inlineStr">
        <is>
          <t>--</t>
        </is>
      </c>
      <c r="N405" s="38" t="inlineStr">
        <is>
          <t>--</t>
        </is>
      </c>
      <c r="O405" s="38" t="inlineStr">
        <is>
          <t>JJH</t>
        </is>
      </c>
      <c r="P405" s="59" t="n"/>
      <c r="Q405" s="62">
        <f>IF(C405="Yes", 1, IF(C405="no", 0, IF(C405= "tardy", SUM(J405/I405),"")))</f>
        <v/>
      </c>
      <c r="R405" s="62">
        <f>LEFT(Train_Log[[#This Row],[COURSE NAME:]],FIND(" - ", Train_Log[[#This Row],[COURSE NAME:]]) -1)</f>
        <v/>
      </c>
      <c r="S405" s="62">
        <f>MID(Train_Log[[#This Row],[COURSE NAME:]],FIND(" - ", Train_Log[[#This Row],[COURSE NAME:]]), 13)</f>
        <v/>
      </c>
      <c r="T405" s="62">
        <f>MID(E405, FIND(" - ", E405) + 3, LEN(E405)) &amp; "_" &amp; TEXT(F405, "yyyymmdd") &amp; "_" &amp; TEXT(H405, "yyyymmdd")</f>
        <v/>
      </c>
    </row>
    <row r="406">
      <c r="B406" s="38" t="inlineStr">
        <is>
          <t>EE24</t>
        </is>
      </c>
      <c r="C406" s="38" t="inlineStr">
        <is>
          <t>No</t>
        </is>
      </c>
      <c r="D406" t="inlineStr">
        <is>
          <t>6725812</t>
        </is>
      </c>
      <c r="E406" s="38" t="inlineStr">
        <is>
          <t>LWOP - HCES SUPERUSER TRAINING</t>
        </is>
      </c>
      <c r="F406" s="40" t="n">
        <v>45424</v>
      </c>
      <c r="G406" s="40" t="n">
        <v>45424</v>
      </c>
      <c r="H406" s="40" t="n">
        <v>45424</v>
      </c>
      <c r="I406" s="41" t="n">
        <v>2</v>
      </c>
      <c r="J406" s="41" t="n">
        <v>2</v>
      </c>
      <c r="K406" s="38" t="inlineStr">
        <is>
          <t>TR 3</t>
        </is>
      </c>
      <c r="L406" s="38" t="inlineStr">
        <is>
          <t>TR 10</t>
        </is>
      </c>
      <c r="M406" s="38" t="inlineStr">
        <is>
          <t>--</t>
        </is>
      </c>
      <c r="N406" s="38" t="inlineStr">
        <is>
          <t>--</t>
        </is>
      </c>
      <c r="O406" s="38" t="inlineStr">
        <is>
          <t>JJH</t>
        </is>
      </c>
      <c r="P406" s="59" t="n"/>
      <c r="Q406" s="62">
        <f>IF(C406="Yes", 1, IF(C406="no", 0, IF(C406= "tardy", SUM(J406/I406),"")))</f>
        <v/>
      </c>
      <c r="R406" s="62">
        <f>LEFT(Train_Log[[#This Row],[COURSE NAME:]],FIND(" - ", Train_Log[[#This Row],[COURSE NAME:]]) -1)</f>
        <v/>
      </c>
      <c r="S406" s="62">
        <f>MID(Train_Log[[#This Row],[COURSE NAME:]],FIND(" - ", Train_Log[[#This Row],[COURSE NAME:]]), 13)</f>
        <v/>
      </c>
      <c r="T406" s="62">
        <f>MID(E406, FIND(" - ", E406) + 3, LEN(E406)) &amp; "_" &amp; TEXT(F406, "yyyymmdd") &amp; "_" &amp; TEXT(H406, "yyyymmdd")</f>
        <v/>
      </c>
    </row>
    <row r="407">
      <c r="B407" s="38" t="inlineStr">
        <is>
          <t>EE111</t>
        </is>
      </c>
      <c r="C407" s="38" t="inlineStr">
        <is>
          <t>No</t>
        </is>
      </c>
      <c r="D407" t="inlineStr">
        <is>
          <t>4891820</t>
        </is>
      </c>
      <c r="E407" s="38" t="inlineStr">
        <is>
          <t>LWOP - HCES SU FACILITATION TRAINING</t>
        </is>
      </c>
      <c r="F407" s="40" t="n">
        <v>45807</v>
      </c>
      <c r="G407" s="40" t="n">
        <v>45807</v>
      </c>
      <c r="H407" s="40" t="n">
        <v>45807</v>
      </c>
      <c r="I407" s="41" t="n">
        <v>4</v>
      </c>
      <c r="J407" s="41" t="n">
        <v>4</v>
      </c>
      <c r="K407" s="38" t="inlineStr">
        <is>
          <t>TR 3</t>
        </is>
      </c>
      <c r="L407" s="38" t="inlineStr">
        <is>
          <t>TR 6</t>
        </is>
      </c>
      <c r="M407" s="38" t="inlineStr">
        <is>
          <t>--</t>
        </is>
      </c>
      <c r="N407" s="38" t="inlineStr">
        <is>
          <t>--</t>
        </is>
      </c>
      <c r="O407" s="38" t="inlineStr">
        <is>
          <t>JJH</t>
        </is>
      </c>
      <c r="P407" s="59" t="n"/>
      <c r="Q407" s="62">
        <f>IF(C407="Yes", 1, IF(C407="no", 0, IF(C407= "tardy", SUM(J407/I407),"")))</f>
        <v/>
      </c>
      <c r="R407" s="62">
        <f>LEFT(Train_Log[[#This Row],[COURSE NAME:]],FIND(" - ", Train_Log[[#This Row],[COURSE NAME:]]) -1)</f>
        <v/>
      </c>
      <c r="S407" s="62">
        <f>MID(Train_Log[[#This Row],[COURSE NAME:]],FIND(" - ", Train_Log[[#This Row],[COURSE NAME:]]), 13)</f>
        <v/>
      </c>
      <c r="T407" s="62">
        <f>MID(E407, FIND(" - ", E407) + 3, LEN(E407)) &amp; "_" &amp; TEXT(F407, "yyyymmdd") &amp; "_" &amp; TEXT(H407, "yyyymmdd")</f>
        <v/>
      </c>
    </row>
    <row r="408">
      <c r="B408" s="38" t="inlineStr">
        <is>
          <t>EE55</t>
        </is>
      </c>
      <c r="C408" s="38" t="inlineStr">
        <is>
          <t>No</t>
        </is>
      </c>
      <c r="D408" s="39" t="inlineStr">
        <is>
          <t>6315426</t>
        </is>
      </c>
      <c r="E408" s="38" t="inlineStr">
        <is>
          <t>PHONES - LWOP</t>
        </is>
      </c>
      <c r="F408" s="44" t="n">
        <v>45580</v>
      </c>
      <c r="G408" s="40" t="n">
        <v>45580</v>
      </c>
      <c r="H408" s="44" t="n">
        <v>45580</v>
      </c>
      <c r="I408" s="41" t="n">
        <v>2</v>
      </c>
      <c r="J408" s="42" t="n">
        <v>2</v>
      </c>
      <c r="K408" s="38" t="inlineStr">
        <is>
          <t>TR 1</t>
        </is>
      </c>
      <c r="L408" s="38" t="inlineStr">
        <is>
          <t>TR 10</t>
        </is>
      </c>
      <c r="M408" s="38" t="inlineStr">
        <is>
          <t>--</t>
        </is>
      </c>
      <c r="N408" s="38" t="inlineStr">
        <is>
          <t>--</t>
        </is>
      </c>
      <c r="O408" s="38" t="inlineStr">
        <is>
          <t>JJH</t>
        </is>
      </c>
      <c r="Q408" s="62">
        <f>IF(C408="Yes", 1, IF(C408="no", 0, IF(C408= "tardy", SUM(J408/I408),"")))</f>
        <v/>
      </c>
      <c r="R408" s="62">
        <f>LEFT(Train_Log[[#This Row],[COURSE NAME:]],FIND(" - ", Train_Log[[#This Row],[COURSE NAME:]]) -1)</f>
        <v/>
      </c>
      <c r="S408" s="62">
        <f>MID(Train_Log[[#This Row],[COURSE NAME:]],FIND(" - ", Train_Log[[#This Row],[COURSE NAME:]]), 13)</f>
        <v/>
      </c>
      <c r="T408" s="62">
        <f>MID(E408, FIND(" - ", E408) + 3, LEN(E408)) &amp; "_" &amp; TEXT(F408, "yyyymmdd") &amp; "_" &amp; TEXT(H408, "yyyymmdd")</f>
        <v/>
      </c>
    </row>
    <row r="409">
      <c r="B409" s="38" t="inlineStr">
        <is>
          <t>EE159</t>
        </is>
      </c>
      <c r="C409" s="38" t="inlineStr">
        <is>
          <t>No</t>
        </is>
      </c>
      <c r="D409" s="39" t="inlineStr">
        <is>
          <t>5231028</t>
        </is>
      </c>
      <c r="E409" s="38" t="inlineStr">
        <is>
          <t>SUPPORT - TRAINING - PTSP TRAINING</t>
        </is>
      </c>
      <c r="F409" s="44" t="n">
        <v>45601</v>
      </c>
      <c r="G409" s="40" t="n">
        <v>45602</v>
      </c>
      <c r="H409" s="44" t="n">
        <v>45602</v>
      </c>
      <c r="I409" s="41" t="n">
        <v>8</v>
      </c>
      <c r="J409" s="42" t="n">
        <v>8</v>
      </c>
      <c r="K409" s="38" t="inlineStr">
        <is>
          <t>TR 8</t>
        </is>
      </c>
      <c r="L409" s="38" t="inlineStr">
        <is>
          <t>TR 1</t>
        </is>
      </c>
      <c r="M409" s="38" t="inlineStr">
        <is>
          <t>--</t>
        </is>
      </c>
      <c r="N409" s="38" t="inlineStr">
        <is>
          <t>--</t>
        </is>
      </c>
      <c r="O409" s="38" t="inlineStr">
        <is>
          <t>JJH</t>
        </is>
      </c>
      <c r="Q409" s="62">
        <f>IF(C409="Yes", 1, IF(C409="no", 0, IF(C409= "tardy", SUM(J409/I409),"")))</f>
        <v/>
      </c>
      <c r="R409" s="62">
        <f>LEFT(Train_Log[[#This Row],[COURSE NAME:]],FIND(" - ", Train_Log[[#This Row],[COURSE NAME:]]) -1)</f>
        <v/>
      </c>
      <c r="S409" s="62">
        <f>MID(Train_Log[[#This Row],[COURSE NAME:]],FIND(" - ", Train_Log[[#This Row],[COURSE NAME:]]), 13)</f>
        <v/>
      </c>
      <c r="T409" s="62">
        <f>MID(E409, FIND(" - ", E409) + 3, LEN(E409)) &amp; "_" &amp; TEXT(F409, "yyyymmdd") &amp; "_" &amp; TEXT(H409, "yyyymmdd")</f>
        <v/>
      </c>
    </row>
    <row r="410">
      <c r="B410" s="38" t="inlineStr">
        <is>
          <t>EE23</t>
        </is>
      </c>
      <c r="C410" s="38" t="inlineStr">
        <is>
          <t>No</t>
        </is>
      </c>
      <c r="D410" s="39" t="inlineStr">
        <is>
          <t>4833985</t>
        </is>
      </c>
      <c r="E410" s="38" t="inlineStr">
        <is>
          <t>RTR - EFORM SEPARATIONS TRAINING</t>
        </is>
      </c>
      <c r="F410" s="44" t="n">
        <v>45691</v>
      </c>
      <c r="G410" s="40" t="n">
        <v>45691</v>
      </c>
      <c r="H410" s="44" t="n">
        <v>45691</v>
      </c>
      <c r="I410" s="41" t="n">
        <v>8</v>
      </c>
      <c r="J410" s="42" t="n">
        <v>8</v>
      </c>
      <c r="K410" s="38" t="inlineStr">
        <is>
          <t>TR 4</t>
        </is>
      </c>
      <c r="L410" s="38" t="inlineStr">
        <is>
          <t>--</t>
        </is>
      </c>
      <c r="M410" s="38" t="inlineStr">
        <is>
          <t>--</t>
        </is>
      </c>
      <c r="N410" s="38" t="inlineStr">
        <is>
          <t>--</t>
        </is>
      </c>
      <c r="O410" s="38" t="inlineStr">
        <is>
          <t>JJH</t>
        </is>
      </c>
      <c r="Q410" s="62">
        <f>IF(C410="Yes", 1, IF(C410="no", 0, IF(C410= "tardy", SUM(J410/I410),"")))</f>
        <v/>
      </c>
      <c r="R410" s="62">
        <f>LEFT(Train_Log[[#This Row],[COURSE NAME:]],FIND(" - ", Train_Log[[#This Row],[COURSE NAME:]]) -1)</f>
        <v/>
      </c>
      <c r="S410" s="62">
        <f>MID(Train_Log[[#This Row],[COURSE NAME:]],FIND(" - ", Train_Log[[#This Row],[COURSE NAME:]]), 13)</f>
        <v/>
      </c>
      <c r="T410" s="62">
        <f>MID(E410, FIND(" - ", E410) + 3, LEN(E410)) &amp; "_" &amp; TEXT(F410, "yyyymmdd") &amp; "_" &amp; TEXT(H410, "yyyymmdd")</f>
        <v/>
      </c>
    </row>
    <row r="411">
      <c r="B411" s="38" t="inlineStr">
        <is>
          <t>EE140</t>
        </is>
      </c>
      <c r="C411" s="38" t="inlineStr">
        <is>
          <t>No</t>
        </is>
      </c>
      <c r="D411" s="39" t="inlineStr">
        <is>
          <t>5770667</t>
        </is>
      </c>
      <c r="E411" s="38" t="inlineStr">
        <is>
          <t>PHONES - BENEFITS</t>
        </is>
      </c>
      <c r="F411" s="44" t="n">
        <v>45690</v>
      </c>
      <c r="G411" s="40" t="n">
        <v>45694</v>
      </c>
      <c r="H411" s="44" t="n">
        <v>45694</v>
      </c>
      <c r="I411" s="41" t="n">
        <v>8</v>
      </c>
      <c r="J411" s="42" t="n">
        <v>8</v>
      </c>
      <c r="K411" s="38" t="inlineStr">
        <is>
          <t>TR 8</t>
        </is>
      </c>
      <c r="L411" s="38" t="inlineStr">
        <is>
          <t>TR 6</t>
        </is>
      </c>
      <c r="M411" s="38" t="inlineStr">
        <is>
          <t>--</t>
        </is>
      </c>
      <c r="N411" s="38" t="inlineStr">
        <is>
          <t>--</t>
        </is>
      </c>
      <c r="O411" s="38" t="inlineStr">
        <is>
          <t>JJH</t>
        </is>
      </c>
      <c r="Q411" s="62">
        <f>IF(C411="Yes", 1, IF(C411="no", 0, IF(C411= "tardy", SUM(J411/I411),"")))</f>
        <v/>
      </c>
      <c r="R411" s="62">
        <f>LEFT(Train_Log[[#This Row],[COURSE NAME:]],FIND(" - ", Train_Log[[#This Row],[COURSE NAME:]]) -1)</f>
        <v/>
      </c>
      <c r="S411" s="62">
        <f>MID(Train_Log[[#This Row],[COURSE NAME:]],FIND(" - ", Train_Log[[#This Row],[COURSE NAME:]]), 13)</f>
        <v/>
      </c>
      <c r="T411" s="62">
        <f>MID(E411, FIND(" - ", E411) + 3, LEN(E411)) &amp; "_" &amp; TEXT(F411, "yyyymmdd") &amp; "_" &amp; TEXT(H411, "yyyymmdd")</f>
        <v/>
      </c>
    </row>
    <row r="412">
      <c r="B412" s="38" t="inlineStr">
        <is>
          <t>EE145</t>
        </is>
      </c>
      <c r="C412" s="38" t="inlineStr">
        <is>
          <t>No</t>
        </is>
      </c>
      <c r="D412" s="39" t="inlineStr">
        <is>
          <t>6499337</t>
        </is>
      </c>
      <c r="E412" s="38" t="inlineStr">
        <is>
          <t>LWOP - HCES SUPERUSER TRAINING</t>
        </is>
      </c>
      <c r="F412" s="44" t="n">
        <v>45696</v>
      </c>
      <c r="G412" s="40" t="n">
        <v>45696</v>
      </c>
      <c r="H412" s="44" t="n">
        <v>45696</v>
      </c>
      <c r="I412" s="41" t="n">
        <v>3</v>
      </c>
      <c r="J412" s="42" t="n">
        <v>3</v>
      </c>
      <c r="K412" s="38" t="inlineStr">
        <is>
          <t>TR 10</t>
        </is>
      </c>
      <c r="L412" s="38" t="inlineStr">
        <is>
          <t>TR 4</t>
        </is>
      </c>
      <c r="M412" s="38" t="inlineStr">
        <is>
          <t>--</t>
        </is>
      </c>
      <c r="N412" s="38" t="inlineStr">
        <is>
          <t>--</t>
        </is>
      </c>
      <c r="O412" s="38" t="inlineStr">
        <is>
          <t>JJH</t>
        </is>
      </c>
      <c r="Q412" s="62">
        <f>IF(C412="Yes", 1, IF(C412="no", 0, IF(C412= "tardy", SUM(J412/I412),"")))</f>
        <v/>
      </c>
      <c r="R412" s="62">
        <f>LEFT(Train_Log[[#This Row],[COURSE NAME:]],FIND(" - ", Train_Log[[#This Row],[COURSE NAME:]]) -1)</f>
        <v/>
      </c>
      <c r="S412" s="62">
        <f>MID(Train_Log[[#This Row],[COURSE NAME:]],FIND(" - ", Train_Log[[#This Row],[COURSE NAME:]]), 13)</f>
        <v/>
      </c>
      <c r="T412" s="62">
        <f>MID(E412, FIND(" - ", E412) + 3, LEN(E412)) &amp; "_" &amp; TEXT(F412, "yyyymmdd") &amp; "_" &amp; TEXT(H412, "yyyymmdd")</f>
        <v/>
      </c>
    </row>
    <row r="413">
      <c r="B413" s="38" t="inlineStr">
        <is>
          <t>EE8</t>
        </is>
      </c>
      <c r="C413" s="38" t="inlineStr">
        <is>
          <t>No</t>
        </is>
      </c>
      <c r="D413" s="39" t="inlineStr">
        <is>
          <t>4429895</t>
        </is>
      </c>
      <c r="E413" s="38" t="inlineStr">
        <is>
          <t>RTR - EFORM SEPARATIONS TRAINING</t>
        </is>
      </c>
      <c r="F413" s="44" t="n">
        <v>45358</v>
      </c>
      <c r="G413" s="40" t="n">
        <v>45359</v>
      </c>
      <c r="H413" s="44" t="n">
        <v>45359</v>
      </c>
      <c r="I413" s="41" t="n">
        <v>8</v>
      </c>
      <c r="J413" s="42" t="n">
        <v>8</v>
      </c>
      <c r="K413" s="38" t="inlineStr">
        <is>
          <t>TR 4</t>
        </is>
      </c>
      <c r="L413" s="38" t="inlineStr">
        <is>
          <t>TR 3</t>
        </is>
      </c>
      <c r="M413" s="38" t="inlineStr">
        <is>
          <t>--</t>
        </is>
      </c>
      <c r="N413" s="38" t="inlineStr">
        <is>
          <t>--</t>
        </is>
      </c>
      <c r="O413" s="38" t="inlineStr">
        <is>
          <t>JJH</t>
        </is>
      </c>
      <c r="Q413" s="62">
        <f>IF(C413="Yes", 1, IF(C413="no", 0, IF(C413= "tardy", SUM(J413/I413),"")))</f>
        <v/>
      </c>
      <c r="R413" s="62">
        <f>LEFT(Train_Log[[#This Row],[COURSE NAME:]],FIND(" - ", Train_Log[[#This Row],[COURSE NAME:]]) -1)</f>
        <v/>
      </c>
      <c r="S413" s="62">
        <f>MID(Train_Log[[#This Row],[COURSE NAME:]],FIND(" - ", Train_Log[[#This Row],[COURSE NAME:]]), 13)</f>
        <v/>
      </c>
      <c r="T413" s="62">
        <f>MID(E413, FIND(" - ", E413) + 3, LEN(E413)) &amp; "_" &amp; TEXT(F413, "yyyymmdd") &amp; "_" &amp; TEXT(H413, "yyyymmdd")</f>
        <v/>
      </c>
    </row>
    <row r="414">
      <c r="B414" s="38" t="inlineStr">
        <is>
          <t>EE26</t>
        </is>
      </c>
      <c r="C414" s="38" t="inlineStr">
        <is>
          <t>No</t>
        </is>
      </c>
      <c r="D414" s="39" t="inlineStr">
        <is>
          <t>6285650</t>
        </is>
      </c>
      <c r="E414" s="38" t="inlineStr">
        <is>
          <t>SUPPORT - TRAINING - PTSP TRAINING</t>
        </is>
      </c>
      <c r="F414" s="44" t="n">
        <v>45545</v>
      </c>
      <c r="G414" s="40" t="n">
        <v>45545</v>
      </c>
      <c r="H414" s="44" t="n">
        <v>45545</v>
      </c>
      <c r="I414" s="41" t="n">
        <v>2</v>
      </c>
      <c r="J414" s="42" t="n">
        <v>2</v>
      </c>
      <c r="K414" s="38" t="inlineStr">
        <is>
          <t>TR 4</t>
        </is>
      </c>
      <c r="L414" s="38" t="inlineStr">
        <is>
          <t>TR 10</t>
        </is>
      </c>
      <c r="M414" s="38" t="inlineStr">
        <is>
          <t>--</t>
        </is>
      </c>
      <c r="N414" s="38" t="inlineStr">
        <is>
          <t>--</t>
        </is>
      </c>
      <c r="O414" s="38" t="inlineStr">
        <is>
          <t>JJH</t>
        </is>
      </c>
      <c r="Q414" s="62">
        <f>IF(C414="Yes", 1, IF(C414="no", 0, IF(C414= "tardy", SUM(J414/I414),"")))</f>
        <v/>
      </c>
      <c r="R414" s="62">
        <f>LEFT(Train_Log[[#This Row],[COURSE NAME:]],FIND(" - ", Train_Log[[#This Row],[COURSE NAME:]]) -1)</f>
        <v/>
      </c>
      <c r="S414" s="62">
        <f>MID(Train_Log[[#This Row],[COURSE NAME:]],FIND(" - ", Train_Log[[#This Row],[COURSE NAME:]]), 13)</f>
        <v/>
      </c>
      <c r="T414" s="62">
        <f>MID(E414, FIND(" - ", E414) + 3, LEN(E414)) &amp; "_" &amp; TEXT(F414, "yyyymmdd") &amp; "_" &amp; TEXT(H414, "yyyymmdd")</f>
        <v/>
      </c>
    </row>
    <row r="415">
      <c r="B415" s="38" t="inlineStr">
        <is>
          <t>EE100</t>
        </is>
      </c>
      <c r="C415" s="38" t="inlineStr">
        <is>
          <t>No</t>
        </is>
      </c>
      <c r="D415" s="39" t="inlineStr">
        <is>
          <t>5360140</t>
        </is>
      </c>
      <c r="E415" s="38" t="inlineStr">
        <is>
          <t>LWOP - HCES SUPERUSER TRAINING</t>
        </is>
      </c>
      <c r="F415" s="44" t="n">
        <v>45476</v>
      </c>
      <c r="G415" s="40" t="n">
        <v>45476</v>
      </c>
      <c r="H415" s="44" t="n">
        <v>45476</v>
      </c>
      <c r="I415" s="41" t="n">
        <v>3</v>
      </c>
      <c r="J415" s="42" t="n">
        <v>3</v>
      </c>
      <c r="K415" s="38" t="inlineStr">
        <is>
          <t>TR 6</t>
        </is>
      </c>
      <c r="L415" s="38" t="inlineStr">
        <is>
          <t>TR 10</t>
        </is>
      </c>
      <c r="M415" s="38" t="inlineStr">
        <is>
          <t>--</t>
        </is>
      </c>
      <c r="N415" s="38" t="inlineStr">
        <is>
          <t>--</t>
        </is>
      </c>
      <c r="O415" s="38" t="inlineStr">
        <is>
          <t>JJH</t>
        </is>
      </c>
      <c r="Q415" s="62">
        <f>IF(C415="Yes", 1, IF(C415="no", 0, IF(C415= "tardy", SUM(J415/I415),"")))</f>
        <v/>
      </c>
      <c r="R415" s="62">
        <f>LEFT(Train_Log[[#This Row],[COURSE NAME:]],FIND(" - ", Train_Log[[#This Row],[COURSE NAME:]]) -1)</f>
        <v/>
      </c>
      <c r="S415" s="62">
        <f>MID(Train_Log[[#This Row],[COURSE NAME:]],FIND(" - ", Train_Log[[#This Row],[COURSE NAME:]]), 13)</f>
        <v/>
      </c>
      <c r="T415" s="62">
        <f>MID(E415, FIND(" - ", E415) + 3, LEN(E415)) &amp; "_" &amp; TEXT(F415, "yyyymmdd") &amp; "_" &amp; TEXT(H415, "yyyymmdd")</f>
        <v/>
      </c>
    </row>
    <row r="416">
      <c r="B416" s="38" t="inlineStr">
        <is>
          <t>EE8</t>
        </is>
      </c>
      <c r="C416" s="38" t="inlineStr">
        <is>
          <t>No</t>
        </is>
      </c>
      <c r="D416" s="39" t="inlineStr">
        <is>
          <t>4429895</t>
        </is>
      </c>
      <c r="E416" s="38" t="inlineStr">
        <is>
          <t>LWOP - HCES SUPERUSER TRAINING</t>
        </is>
      </c>
      <c r="F416" s="44" t="n">
        <v>45444</v>
      </c>
      <c r="G416" s="40" t="n">
        <v>45446</v>
      </c>
      <c r="H416" s="44" t="n">
        <v>45446</v>
      </c>
      <c r="I416" s="41" t="n">
        <v>4</v>
      </c>
      <c r="J416" s="42" t="n">
        <v>4</v>
      </c>
      <c r="K416" s="38" t="inlineStr">
        <is>
          <t>TR 9</t>
        </is>
      </c>
      <c r="L416" s="38" t="inlineStr">
        <is>
          <t>TR 5</t>
        </is>
      </c>
      <c r="M416" s="38" t="inlineStr">
        <is>
          <t>--</t>
        </is>
      </c>
      <c r="N416" s="38" t="inlineStr">
        <is>
          <t>--</t>
        </is>
      </c>
      <c r="O416" s="38" t="inlineStr">
        <is>
          <t>JJH</t>
        </is>
      </c>
      <c r="Q416" s="62">
        <f>IF(C416="Yes", 1, IF(C416="no", 0, IF(C416= "tardy", SUM(J416/I416),"")))</f>
        <v/>
      </c>
      <c r="R416" s="62">
        <f>LEFT(Train_Log[[#This Row],[COURSE NAME:]],FIND(" - ", Train_Log[[#This Row],[COURSE NAME:]]) -1)</f>
        <v/>
      </c>
      <c r="S416" s="62">
        <f>MID(Train_Log[[#This Row],[COURSE NAME:]],FIND(" - ", Train_Log[[#This Row],[COURSE NAME:]]), 13)</f>
        <v/>
      </c>
      <c r="T416" s="62">
        <f>MID(E416, FIND(" - ", E416) + 3, LEN(E416)) &amp; "_" &amp; TEXT(F416, "yyyymmdd") &amp; "_" &amp; TEXT(H416, "yyyymmdd")</f>
        <v/>
      </c>
    </row>
    <row r="417">
      <c r="B417" s="38" t="inlineStr">
        <is>
          <t>EE45</t>
        </is>
      </c>
      <c r="C417" s="38" t="inlineStr">
        <is>
          <t>tardy</t>
        </is>
      </c>
      <c r="D417" s="39" t="inlineStr">
        <is>
          <t>5505668</t>
        </is>
      </c>
      <c r="E417" s="38" t="inlineStr">
        <is>
          <t>OPTIONAL RETIREMENTS - MAILBUILD</t>
        </is>
      </c>
      <c r="F417" s="44" t="n">
        <v>45337</v>
      </c>
      <c r="G417" s="40" t="n">
        <v>45337</v>
      </c>
      <c r="H417" s="44" t="n">
        <v>45337</v>
      </c>
      <c r="I417" s="41" t="n">
        <v>8</v>
      </c>
      <c r="J417" s="42" t="n">
        <v>4.7</v>
      </c>
      <c r="K417" s="38" t="inlineStr">
        <is>
          <t>TR 9</t>
        </is>
      </c>
      <c r="L417" s="38" t="inlineStr">
        <is>
          <t>TR 8</t>
        </is>
      </c>
      <c r="M417" s="38" t="inlineStr">
        <is>
          <t>--</t>
        </is>
      </c>
      <c r="N417" s="38" t="inlineStr">
        <is>
          <t>--</t>
        </is>
      </c>
      <c r="O417" s="38" t="inlineStr">
        <is>
          <t>JJH</t>
        </is>
      </c>
      <c r="Q417" s="62">
        <f>IF(C417="Yes", 1, IF(C417="no", 0, IF(C417= "tardy", SUM(J417/I417),"")))</f>
        <v/>
      </c>
      <c r="R417" s="62">
        <f>LEFT(Train_Log[[#This Row],[COURSE NAME:]],FIND(" - ", Train_Log[[#This Row],[COURSE NAME:]]) -1)</f>
        <v/>
      </c>
      <c r="S417" s="62">
        <f>MID(Train_Log[[#This Row],[COURSE NAME:]],FIND(" - ", Train_Log[[#This Row],[COURSE NAME:]]), 13)</f>
        <v/>
      </c>
      <c r="T417" s="62">
        <f>MID(E417, FIND(" - ", E417) + 3, LEN(E417)) &amp; "_" &amp; TEXT(F417, "yyyymmdd") &amp; "_" &amp; TEXT(H417, "yyyymmdd")</f>
        <v/>
      </c>
    </row>
    <row r="418">
      <c r="B418" s="38" t="inlineStr">
        <is>
          <t>EE1</t>
        </is>
      </c>
      <c r="C418" s="38" t="inlineStr">
        <is>
          <t>No</t>
        </is>
      </c>
      <c r="D418" s="39" t="inlineStr">
        <is>
          <t>6681950</t>
        </is>
      </c>
      <c r="E418" s="38" t="inlineStr">
        <is>
          <t>LWOP - HCES SUPERUSER TRAINING</t>
        </is>
      </c>
      <c r="F418" s="44" t="n">
        <v>45505</v>
      </c>
      <c r="G418" s="40" t="n">
        <v>45505</v>
      </c>
      <c r="H418" s="44" t="n">
        <v>45505</v>
      </c>
      <c r="I418" s="41" t="n">
        <v>2</v>
      </c>
      <c r="J418" s="42" t="n">
        <v>2</v>
      </c>
      <c r="K418" s="38" t="inlineStr">
        <is>
          <t>TR 6</t>
        </is>
      </c>
      <c r="L418" s="38" t="inlineStr">
        <is>
          <t>TR 1</t>
        </is>
      </c>
      <c r="M418" s="38" t="inlineStr">
        <is>
          <t>--</t>
        </is>
      </c>
      <c r="N418" s="38" t="inlineStr">
        <is>
          <t>--</t>
        </is>
      </c>
      <c r="O418" s="38" t="inlineStr">
        <is>
          <t>JJH</t>
        </is>
      </c>
      <c r="Q418" s="62">
        <f>IF(C418="Yes", 1, IF(C418="no", 0, IF(C418= "tardy", SUM(J418/I418),"")))</f>
        <v/>
      </c>
      <c r="R418" s="62">
        <f>LEFT(Train_Log[[#This Row],[COURSE NAME:]],FIND(" - ", Train_Log[[#This Row],[COURSE NAME:]]) -1)</f>
        <v/>
      </c>
      <c r="S418" s="62">
        <f>MID(Train_Log[[#This Row],[COURSE NAME:]],FIND(" - ", Train_Log[[#This Row],[COURSE NAME:]]), 13)</f>
        <v/>
      </c>
      <c r="T418" s="62">
        <f>MID(E418, FIND(" - ", E418) + 3, LEN(E418)) &amp; "_" &amp; TEXT(F418, "yyyymmdd") &amp; "_" &amp; TEXT(H418, "yyyymmdd")</f>
        <v/>
      </c>
    </row>
    <row r="419">
      <c r="B419" s="38" t="inlineStr">
        <is>
          <t>EE6</t>
        </is>
      </c>
      <c r="C419" s="38" t="inlineStr">
        <is>
          <t>No</t>
        </is>
      </c>
      <c r="D419" s="39" t="inlineStr">
        <is>
          <t>4936213</t>
        </is>
      </c>
      <c r="E419" s="38" t="inlineStr">
        <is>
          <t>PHONES - LWOP</t>
        </is>
      </c>
      <c r="F419" s="44" t="n">
        <v>45444</v>
      </c>
      <c r="G419" s="40" t="n">
        <v>45444</v>
      </c>
      <c r="H419" s="44" t="n">
        <v>45444</v>
      </c>
      <c r="I419" s="41" t="n">
        <v>3</v>
      </c>
      <c r="J419" s="42" t="n">
        <v>3</v>
      </c>
      <c r="K419" s="38" t="inlineStr">
        <is>
          <t>TR 2</t>
        </is>
      </c>
      <c r="L419" s="38" t="inlineStr">
        <is>
          <t>TR 6</t>
        </is>
      </c>
      <c r="M419" s="38" t="inlineStr">
        <is>
          <t>--</t>
        </is>
      </c>
      <c r="N419" s="38" t="inlineStr">
        <is>
          <t>--</t>
        </is>
      </c>
      <c r="O419" s="38" t="inlineStr">
        <is>
          <t>JJH</t>
        </is>
      </c>
      <c r="Q419" s="62">
        <f>IF(C419="Yes", 1, IF(C419="no", 0, IF(C419= "tardy", SUM(J419/I419),"")))</f>
        <v/>
      </c>
      <c r="R419" s="62">
        <f>LEFT(Train_Log[[#This Row],[COURSE NAME:]],FIND(" - ", Train_Log[[#This Row],[COURSE NAME:]]) -1)</f>
        <v/>
      </c>
      <c r="S419" s="62">
        <f>MID(Train_Log[[#This Row],[COURSE NAME:]],FIND(" - ", Train_Log[[#This Row],[COURSE NAME:]]), 13)</f>
        <v/>
      </c>
      <c r="T419" s="62">
        <f>MID(E419, FIND(" - ", E419) + 3, LEN(E419)) &amp; "_" &amp; TEXT(F419, "yyyymmdd") &amp; "_" &amp; TEXT(H419, "yyyymmdd")</f>
        <v/>
      </c>
    </row>
    <row r="420">
      <c r="B420" s="38" t="inlineStr">
        <is>
          <t>EE181</t>
        </is>
      </c>
      <c r="C420" s="38" t="inlineStr">
        <is>
          <t>No</t>
        </is>
      </c>
      <c r="D420" t="inlineStr">
        <is>
          <t>6512155</t>
        </is>
      </c>
      <c r="E420" s="38" t="inlineStr">
        <is>
          <t>LWOP - HCES SU FACILITATION TRAINING</t>
        </is>
      </c>
      <c r="F420" s="40" t="n">
        <v>45402</v>
      </c>
      <c r="G420" s="40" t="n">
        <v>45402</v>
      </c>
      <c r="H420" s="40" t="n">
        <v>45402</v>
      </c>
      <c r="I420" s="41" t="n">
        <v>2</v>
      </c>
      <c r="J420" s="41" t="n">
        <v>2</v>
      </c>
      <c r="K420" s="38" t="inlineStr">
        <is>
          <t>TR 3</t>
        </is>
      </c>
      <c r="L420" s="38" t="inlineStr">
        <is>
          <t>TR 7</t>
        </is>
      </c>
      <c r="M420" s="38" t="inlineStr">
        <is>
          <t>--</t>
        </is>
      </c>
      <c r="N420" s="38" t="inlineStr">
        <is>
          <t>--</t>
        </is>
      </c>
      <c r="O420" s="38" t="inlineStr">
        <is>
          <t>JJH</t>
        </is>
      </c>
      <c r="Q420" s="62">
        <f>IF(C420="Yes", 1, IF(C420="no", 0, IF(C420= "tardy", SUM(J420/I420),"")))</f>
        <v/>
      </c>
      <c r="R420" s="62">
        <f>LEFT(Train_Log[[#This Row],[COURSE NAME:]],FIND(" - ", Train_Log[[#This Row],[COURSE NAME:]]) -1)</f>
        <v/>
      </c>
      <c r="S420" s="62">
        <f>MID(Train_Log[[#This Row],[COURSE NAME:]],FIND(" - ", Train_Log[[#This Row],[COURSE NAME:]]), 13)</f>
        <v/>
      </c>
      <c r="T420" s="62">
        <f>MID(E420, FIND(" - ", E420) + 3, LEN(E420)) &amp; "_" &amp; TEXT(F420, "yyyymmdd") &amp; "_" &amp; TEXT(H420, "yyyymmdd")</f>
        <v/>
      </c>
    </row>
    <row r="421">
      <c r="B421" s="38" t="inlineStr">
        <is>
          <t>EE164</t>
        </is>
      </c>
      <c r="C421" s="38" t="inlineStr">
        <is>
          <t>No</t>
        </is>
      </c>
      <c r="D421" t="inlineStr">
        <is>
          <t>5104733</t>
        </is>
      </c>
      <c r="E421" s="38" t="inlineStr">
        <is>
          <t>OPTIONAL RETIREMENTS - MAILBUILD</t>
        </is>
      </c>
      <c r="F421" s="40" t="n">
        <v>45623</v>
      </c>
      <c r="G421" s="40" t="n">
        <v>45623</v>
      </c>
      <c r="H421" s="40" t="n">
        <v>45623</v>
      </c>
      <c r="I421" s="41" t="n">
        <v>8</v>
      </c>
      <c r="J421" s="41" t="n">
        <v>8</v>
      </c>
      <c r="K421" s="38" t="inlineStr">
        <is>
          <t>TR 10</t>
        </is>
      </c>
      <c r="L421" s="38" t="inlineStr">
        <is>
          <t>TR 6</t>
        </is>
      </c>
      <c r="M421" s="38" t="inlineStr">
        <is>
          <t>--</t>
        </is>
      </c>
      <c r="N421" s="38" t="inlineStr">
        <is>
          <t>--</t>
        </is>
      </c>
      <c r="O421" s="38" t="inlineStr">
        <is>
          <t>JJH</t>
        </is>
      </c>
      <c r="P421" s="50" t="n"/>
      <c r="Q421" s="62">
        <f>IF(C421="Yes", 1, IF(C421="no", 0, IF(C421= "tardy", SUM(J421/I421),"")))</f>
        <v/>
      </c>
      <c r="R421" s="62">
        <f>LEFT(Train_Log[[#This Row],[COURSE NAME:]],FIND(" - ", Train_Log[[#This Row],[COURSE NAME:]]) -1)</f>
        <v/>
      </c>
      <c r="S421" s="62">
        <f>MID(Train_Log[[#This Row],[COURSE NAME:]],FIND(" - ", Train_Log[[#This Row],[COURSE NAME:]]), 13)</f>
        <v/>
      </c>
      <c r="T421" s="62">
        <f>MID(E421, FIND(" - ", E421) + 3, LEN(E421)) &amp; "_" &amp; TEXT(F421, "yyyymmdd") &amp; "_" &amp; TEXT(H421, "yyyymmdd")</f>
        <v/>
      </c>
    </row>
    <row r="422">
      <c r="B422" s="38" t="inlineStr">
        <is>
          <t>EE58</t>
        </is>
      </c>
      <c r="C422" s="38" t="inlineStr">
        <is>
          <t>No</t>
        </is>
      </c>
      <c r="D422" s="39" t="inlineStr">
        <is>
          <t>6594259</t>
        </is>
      </c>
      <c r="E422" s="38" t="inlineStr">
        <is>
          <t>PHONES - LWOP</t>
        </is>
      </c>
      <c r="F422" s="40" t="n">
        <v>45686</v>
      </c>
      <c r="G422" s="40" t="n">
        <v>45686</v>
      </c>
      <c r="H422" s="40" t="n">
        <v>45686</v>
      </c>
      <c r="I422" s="41" t="n">
        <v>3</v>
      </c>
      <c r="J422" s="41" t="n">
        <v>3</v>
      </c>
      <c r="K422" s="38" t="inlineStr">
        <is>
          <t>TR 3</t>
        </is>
      </c>
      <c r="L422" s="38" t="inlineStr">
        <is>
          <t>TR 3</t>
        </is>
      </c>
      <c r="M422" s="38" t="inlineStr">
        <is>
          <t>--</t>
        </is>
      </c>
      <c r="N422" s="38" t="inlineStr">
        <is>
          <t>--</t>
        </is>
      </c>
      <c r="O422" s="38" t="inlineStr">
        <is>
          <t>JJH</t>
        </is>
      </c>
      <c r="P422" s="44" t="n"/>
      <c r="Q422" s="62">
        <f>IF(C422="Yes", 1, IF(C422="no", 0, IF(C422= "tardy", SUM(J422/I422),"")))</f>
        <v/>
      </c>
      <c r="R422" s="62">
        <f>LEFT(Train_Log[[#This Row],[COURSE NAME:]],FIND(" - ", Train_Log[[#This Row],[COURSE NAME:]]) -1)</f>
        <v/>
      </c>
      <c r="S422" s="62">
        <f>MID(Train_Log[[#This Row],[COURSE NAME:]],FIND(" - ", Train_Log[[#This Row],[COURSE NAME:]]), 13)</f>
        <v/>
      </c>
      <c r="T422" s="62">
        <f>MID(E422, FIND(" - ", E422) + 3, LEN(E422)) &amp; "_" &amp; TEXT(F422, "yyyymmdd") &amp; "_" &amp; TEXT(H422, "yyyymmdd")</f>
        <v/>
      </c>
    </row>
    <row r="423">
      <c r="B423" s="38" t="inlineStr">
        <is>
          <t>EE187</t>
        </is>
      </c>
      <c r="C423" s="38" t="inlineStr">
        <is>
          <t>tardy</t>
        </is>
      </c>
      <c r="D423" s="46" t="inlineStr">
        <is>
          <t>5289807</t>
        </is>
      </c>
      <c r="E423" s="38" t="inlineStr">
        <is>
          <t>PHONES - BENEFITS</t>
        </is>
      </c>
      <c r="F423" s="53" t="n">
        <v>45699</v>
      </c>
      <c r="G423" s="53" t="n">
        <v>45701</v>
      </c>
      <c r="H423" s="53" t="n">
        <v>45701</v>
      </c>
      <c r="I423" s="54" t="n">
        <v>8</v>
      </c>
      <c r="J423" s="54" t="n">
        <v>5.02</v>
      </c>
      <c r="K423" s="45" t="inlineStr">
        <is>
          <t>TR 10</t>
        </is>
      </c>
      <c r="L423" s="45" t="inlineStr">
        <is>
          <t>TR 4</t>
        </is>
      </c>
      <c r="M423" s="38" t="inlineStr">
        <is>
          <t>--</t>
        </is>
      </c>
      <c r="N423" s="38" t="inlineStr">
        <is>
          <t>--</t>
        </is>
      </c>
      <c r="O423" s="38" t="inlineStr">
        <is>
          <t>JJH</t>
        </is>
      </c>
      <c r="P423" s="53" t="n"/>
      <c r="Q423" s="61">
        <f>IF(C423="Yes", 1, IF(C423="no", 0, IF(C423= "tardy", SUM(J423/I423),"")))</f>
        <v/>
      </c>
      <c r="R423" s="61">
        <f>LEFT(Train_Log[[#This Row],[COURSE NAME:]],FIND(" - ", Train_Log[[#This Row],[COURSE NAME:]]) -1)</f>
        <v/>
      </c>
      <c r="S423" s="61">
        <f>MID(Train_Log[[#This Row],[COURSE NAME:]],FIND(" - ", Train_Log[[#This Row],[COURSE NAME:]]), 13)</f>
        <v/>
      </c>
      <c r="T423" s="61">
        <f>MID(E423, FIND(" - ", E423) + 3, LEN(E423)) &amp; "_" &amp; TEXT(F423, "yyyymmdd") &amp; "_" &amp; TEXT(H423, "yyyymmdd")</f>
        <v/>
      </c>
    </row>
    <row r="424">
      <c r="B424" s="38" t="inlineStr">
        <is>
          <t>EE164</t>
        </is>
      </c>
      <c r="C424" s="38" t="inlineStr">
        <is>
          <t>No</t>
        </is>
      </c>
      <c r="D424" t="inlineStr">
        <is>
          <t>5104733</t>
        </is>
      </c>
      <c r="E424" s="38" t="inlineStr">
        <is>
          <t>PHONES - EMPLOYMENT VERIFICATION</t>
        </is>
      </c>
      <c r="F424" s="40" t="n">
        <v>45807</v>
      </c>
      <c r="G424" s="40" t="n">
        <v>45807</v>
      </c>
      <c r="H424" s="40" t="n">
        <v>45807</v>
      </c>
      <c r="I424" s="41" t="n">
        <v>2</v>
      </c>
      <c r="J424" s="41" t="n">
        <v>2</v>
      </c>
      <c r="K424" s="38" t="inlineStr">
        <is>
          <t>TR 4</t>
        </is>
      </c>
      <c r="L424" s="38" t="inlineStr">
        <is>
          <t>TR 6</t>
        </is>
      </c>
      <c r="M424" s="38" t="inlineStr">
        <is>
          <t>--</t>
        </is>
      </c>
      <c r="N424" s="38" t="inlineStr">
        <is>
          <t>--</t>
        </is>
      </c>
      <c r="O424" s="38" t="inlineStr">
        <is>
          <t>JJH</t>
        </is>
      </c>
      <c r="Q424" s="62">
        <f>IF(C424="Yes", 1, IF(C424="no", 0, IF(C424= "tardy", SUM(J424/I424),"")))</f>
        <v/>
      </c>
      <c r="R424" s="62">
        <f>LEFT(Train_Log[[#This Row],[COURSE NAME:]],FIND(" - ", Train_Log[[#This Row],[COURSE NAME:]]) -1)</f>
        <v/>
      </c>
      <c r="S424" s="62">
        <f>MID(Train_Log[[#This Row],[COURSE NAME:]],FIND(" - ", Train_Log[[#This Row],[COURSE NAME:]]), 13)</f>
        <v/>
      </c>
      <c r="T424" s="62">
        <f>MID(E424, FIND(" - ", E424) + 3, LEN(E424)) &amp; "_" &amp; TEXT(F424, "yyyymmdd") &amp; "_" &amp; TEXT(H424, "yyyymmdd")</f>
        <v/>
      </c>
    </row>
    <row r="425">
      <c r="B425" s="38" t="inlineStr">
        <is>
          <t>EE82</t>
        </is>
      </c>
      <c r="C425" s="38" t="inlineStr">
        <is>
          <t>No</t>
        </is>
      </c>
      <c r="D425" t="inlineStr">
        <is>
          <t>6943647</t>
        </is>
      </c>
      <c r="E425" s="38" t="inlineStr">
        <is>
          <t>PHONES - LWOP</t>
        </is>
      </c>
      <c r="F425" s="40" t="n">
        <v>45389</v>
      </c>
      <c r="G425" s="40" t="n">
        <v>45393</v>
      </c>
      <c r="H425" s="40" t="n">
        <v>45393</v>
      </c>
      <c r="I425" s="41" t="n">
        <v>3</v>
      </c>
      <c r="J425" s="41" t="n">
        <v>3</v>
      </c>
      <c r="K425" s="38" t="inlineStr">
        <is>
          <t>TR 8</t>
        </is>
      </c>
      <c r="L425" s="38" t="inlineStr">
        <is>
          <t>TR 1</t>
        </is>
      </c>
      <c r="M425" s="38" t="inlineStr">
        <is>
          <t>--</t>
        </is>
      </c>
      <c r="N425" s="38" t="inlineStr">
        <is>
          <t>--</t>
        </is>
      </c>
      <c r="O425" s="38" t="inlineStr">
        <is>
          <t>JJH</t>
        </is>
      </c>
      <c r="P425" s="59" t="n"/>
      <c r="Q425" s="62">
        <f>IF(C425="Yes", 1, IF(C425="no", 0, IF(C425= "tardy", SUM(J425/I425),"")))</f>
        <v/>
      </c>
      <c r="R425" s="62">
        <f>LEFT(Train_Log[[#This Row],[COURSE NAME:]],FIND(" - ", Train_Log[[#This Row],[COURSE NAME:]]) -1)</f>
        <v/>
      </c>
      <c r="S425" s="62">
        <f>MID(Train_Log[[#This Row],[COURSE NAME:]],FIND(" - ", Train_Log[[#This Row],[COURSE NAME:]]), 13)</f>
        <v/>
      </c>
      <c r="T425" s="62">
        <f>MID(E425, FIND(" - ", E425) + 3, LEN(E425)) &amp; "_" &amp; TEXT(F425, "yyyymmdd") &amp; "_" &amp; TEXT(H425, "yyyymmdd")</f>
        <v/>
      </c>
    </row>
    <row r="426">
      <c r="B426" s="38" t="inlineStr">
        <is>
          <t>EE68</t>
        </is>
      </c>
      <c r="C426" s="38" t="inlineStr">
        <is>
          <t>tardy</t>
        </is>
      </c>
      <c r="D426" t="inlineStr">
        <is>
          <t>4334671</t>
        </is>
      </c>
      <c r="E426" s="38" t="inlineStr">
        <is>
          <t>SUPPORT - TRAINING - PTSP TRAINING</t>
        </is>
      </c>
      <c r="F426" s="40" t="n">
        <v>45554</v>
      </c>
      <c r="G426" s="40" t="n">
        <v>45558</v>
      </c>
      <c r="H426" s="40" t="n">
        <v>45558</v>
      </c>
      <c r="I426" s="41" t="n">
        <v>3</v>
      </c>
      <c r="J426" s="41" t="n">
        <v>2.44</v>
      </c>
      <c r="K426" s="38" t="inlineStr">
        <is>
          <t>TR 1</t>
        </is>
      </c>
      <c r="L426" s="38" t="inlineStr">
        <is>
          <t>TR 1</t>
        </is>
      </c>
      <c r="M426" s="38" t="inlineStr">
        <is>
          <t>--</t>
        </is>
      </c>
      <c r="N426" s="38" t="inlineStr">
        <is>
          <t>--</t>
        </is>
      </c>
      <c r="O426" s="38" t="inlineStr">
        <is>
          <t>JJH</t>
        </is>
      </c>
      <c r="P426" s="59" t="n"/>
      <c r="Q426" s="62">
        <f>IF(C426="Yes", 1, IF(C426="no", 0, IF(C426= "tardy", SUM(J426/I426),"")))</f>
        <v/>
      </c>
      <c r="R426" s="62">
        <f>LEFT(Train_Log[[#This Row],[COURSE NAME:]],FIND(" - ", Train_Log[[#This Row],[COURSE NAME:]]) -1)</f>
        <v/>
      </c>
      <c r="S426" s="62">
        <f>MID(Train_Log[[#This Row],[COURSE NAME:]],FIND(" - ", Train_Log[[#This Row],[COURSE NAME:]]), 13)</f>
        <v/>
      </c>
      <c r="T426" s="62">
        <f>MID(E426, FIND(" - ", E426) + 3, LEN(E426)) &amp; "_" &amp; TEXT(F426, "yyyymmdd") &amp; "_" &amp; TEXT(H426, "yyyymmdd")</f>
        <v/>
      </c>
    </row>
    <row r="427">
      <c r="B427" s="38" t="inlineStr">
        <is>
          <t>EE99</t>
        </is>
      </c>
      <c r="C427" s="38" t="inlineStr">
        <is>
          <t>No</t>
        </is>
      </c>
      <c r="D427" t="inlineStr">
        <is>
          <t>6871480</t>
        </is>
      </c>
      <c r="E427" s="38" t="inlineStr">
        <is>
          <t>OPTIONAL RETIREMENTS - MAILBUILD</t>
        </is>
      </c>
      <c r="F427" s="40" t="n">
        <v>45728</v>
      </c>
      <c r="G427" s="40" t="n">
        <v>45728</v>
      </c>
      <c r="H427" s="40" t="n">
        <v>45728</v>
      </c>
      <c r="I427" s="41" t="n">
        <v>4</v>
      </c>
      <c r="J427" s="41" t="n">
        <v>4</v>
      </c>
      <c r="K427" s="38" t="inlineStr">
        <is>
          <t>TR 7</t>
        </is>
      </c>
      <c r="L427" s="38" t="inlineStr">
        <is>
          <t>TR 6</t>
        </is>
      </c>
      <c r="M427" s="38" t="inlineStr">
        <is>
          <t>--</t>
        </is>
      </c>
      <c r="N427" s="38" t="inlineStr">
        <is>
          <t>--</t>
        </is>
      </c>
      <c r="O427" s="38" t="inlineStr">
        <is>
          <t>JJH</t>
        </is>
      </c>
      <c r="P427" s="59" t="n"/>
      <c r="Q427" s="62">
        <f>IF(C427="Yes", 1, IF(C427="no", 0, IF(C427= "tardy", SUM(J427/I427),"")))</f>
        <v/>
      </c>
      <c r="R427" s="62">
        <f>LEFT(Train_Log[[#This Row],[COURSE NAME:]],FIND(" - ", Train_Log[[#This Row],[COURSE NAME:]]) -1)</f>
        <v/>
      </c>
      <c r="S427" s="62">
        <f>MID(Train_Log[[#This Row],[COURSE NAME:]],FIND(" - ", Train_Log[[#This Row],[COURSE NAME:]]), 13)</f>
        <v/>
      </c>
      <c r="T427" s="62">
        <f>MID(E427, FIND(" - ", E427) + 3, LEN(E427)) &amp; "_" &amp; TEXT(F427, "yyyymmdd") &amp; "_" &amp; TEXT(H427, "yyyymmdd")</f>
        <v/>
      </c>
    </row>
    <row r="428">
      <c r="B428" s="38" t="inlineStr">
        <is>
          <t>EE140</t>
        </is>
      </c>
      <c r="C428" s="38" t="inlineStr">
        <is>
          <t>No</t>
        </is>
      </c>
      <c r="D428" t="inlineStr">
        <is>
          <t>5770667</t>
        </is>
      </c>
      <c r="E428" s="38" t="inlineStr">
        <is>
          <t>LWOP - HCES SU FACILITATION TRAINING</t>
        </is>
      </c>
      <c r="F428" s="40" t="n">
        <v>45402</v>
      </c>
      <c r="G428" s="40" t="n">
        <v>45403</v>
      </c>
      <c r="H428" s="40" t="n">
        <v>45403</v>
      </c>
      <c r="I428" s="41" t="n">
        <v>8</v>
      </c>
      <c r="J428" s="41" t="n">
        <v>8</v>
      </c>
      <c r="K428" s="38" t="inlineStr">
        <is>
          <t>TR 4</t>
        </is>
      </c>
      <c r="L428" s="38" t="inlineStr">
        <is>
          <t>TR 3</t>
        </is>
      </c>
      <c r="M428" s="38" t="inlineStr">
        <is>
          <t>--</t>
        </is>
      </c>
      <c r="N428" s="38" t="inlineStr">
        <is>
          <t>--</t>
        </is>
      </c>
      <c r="O428" s="38" t="inlineStr">
        <is>
          <t>JJH</t>
        </is>
      </c>
      <c r="P428" s="59" t="n"/>
      <c r="Q428" s="62">
        <f>IF(C428="Yes", 1, IF(C428="no", 0, IF(C428= "tardy", SUM(J428/I428),"")))</f>
        <v/>
      </c>
      <c r="R428" s="62">
        <f>LEFT(Train_Log[[#This Row],[COURSE NAME:]],FIND(" - ", Train_Log[[#This Row],[COURSE NAME:]]) -1)</f>
        <v/>
      </c>
      <c r="S428" s="62">
        <f>MID(Train_Log[[#This Row],[COURSE NAME:]],FIND(" - ", Train_Log[[#This Row],[COURSE NAME:]]), 13)</f>
        <v/>
      </c>
      <c r="T428" s="62">
        <f>MID(E428, FIND(" - ", E428) + 3, LEN(E428)) &amp; "_" &amp; TEXT(F428, "yyyymmdd") &amp; "_" &amp; TEXT(H428, "yyyymmdd")</f>
        <v/>
      </c>
    </row>
    <row r="429">
      <c r="B429" s="38" t="inlineStr">
        <is>
          <t>EE116</t>
        </is>
      </c>
      <c r="C429" s="38" t="inlineStr">
        <is>
          <t>tardy</t>
        </is>
      </c>
      <c r="D429" s="39" t="inlineStr">
        <is>
          <t>5924564</t>
        </is>
      </c>
      <c r="E429" s="38" t="inlineStr">
        <is>
          <t>PHONES - EMPLOYMENT VERIFICATION</t>
        </is>
      </c>
      <c r="F429" s="44" t="n">
        <v>45333</v>
      </c>
      <c r="G429" s="40" t="n">
        <v>45333</v>
      </c>
      <c r="H429" s="44" t="n">
        <v>45333</v>
      </c>
      <c r="I429" s="41" t="n">
        <v>3</v>
      </c>
      <c r="J429" s="42" t="n">
        <v>2.64</v>
      </c>
      <c r="K429" s="38" t="inlineStr">
        <is>
          <t>TR 2</t>
        </is>
      </c>
      <c r="L429" s="38" t="inlineStr">
        <is>
          <t>TR 6</t>
        </is>
      </c>
      <c r="M429" s="38" t="inlineStr">
        <is>
          <t>--</t>
        </is>
      </c>
      <c r="N429" s="38" t="inlineStr">
        <is>
          <t>--</t>
        </is>
      </c>
      <c r="O429" s="38" t="inlineStr">
        <is>
          <t>JJH</t>
        </is>
      </c>
      <c r="Q429" s="62">
        <f>IF(C429="Yes", 1, IF(C429="no", 0, IF(C429= "tardy", SUM(J429/I429),"")))</f>
        <v/>
      </c>
      <c r="R429" s="62">
        <f>LEFT(Train_Log[[#This Row],[COURSE NAME:]],FIND(" - ", Train_Log[[#This Row],[COURSE NAME:]]) -1)</f>
        <v/>
      </c>
      <c r="S429" s="62">
        <f>MID(Train_Log[[#This Row],[COURSE NAME:]],FIND(" - ", Train_Log[[#This Row],[COURSE NAME:]]), 13)</f>
        <v/>
      </c>
      <c r="T429" s="62">
        <f>MID(E429, FIND(" - ", E429) + 3, LEN(E429)) &amp; "_" &amp; TEXT(F429, "yyyymmdd") &amp; "_" &amp; TEXT(H429, "yyyymmdd")</f>
        <v/>
      </c>
    </row>
    <row r="430">
      <c r="B430" s="38" t="inlineStr">
        <is>
          <t>EE44</t>
        </is>
      </c>
      <c r="C430" s="38" t="inlineStr">
        <is>
          <t>No</t>
        </is>
      </c>
      <c r="D430" s="39" t="inlineStr">
        <is>
          <t>4405657</t>
        </is>
      </c>
      <c r="E430" s="38" t="inlineStr">
        <is>
          <t>LWOP - HCES SU FACILITATION TRAINING</t>
        </is>
      </c>
      <c r="F430" s="44" t="n">
        <v>45463</v>
      </c>
      <c r="G430" s="40" t="n">
        <v>45467</v>
      </c>
      <c r="H430" s="44" t="n">
        <v>45467</v>
      </c>
      <c r="I430" s="41" t="n">
        <v>2</v>
      </c>
      <c r="J430" s="42" t="n">
        <v>2</v>
      </c>
      <c r="K430" s="38" t="inlineStr">
        <is>
          <t>TR 6</t>
        </is>
      </c>
      <c r="L430" s="38" t="inlineStr">
        <is>
          <t>TR 10</t>
        </is>
      </c>
      <c r="M430" s="38" t="inlineStr">
        <is>
          <t>--</t>
        </is>
      </c>
      <c r="N430" s="38" t="inlineStr">
        <is>
          <t>--</t>
        </is>
      </c>
      <c r="O430" s="38" t="inlineStr">
        <is>
          <t>JJH</t>
        </is>
      </c>
      <c r="Q430" s="62">
        <f>IF(C430="Yes", 1, IF(C430="no", 0, IF(C430= "tardy", SUM(J430/I430),"")))</f>
        <v/>
      </c>
      <c r="R430" s="62">
        <f>LEFT(Train_Log[[#This Row],[COURSE NAME:]],FIND(" - ", Train_Log[[#This Row],[COURSE NAME:]]) -1)</f>
        <v/>
      </c>
      <c r="S430" s="62">
        <f>MID(Train_Log[[#This Row],[COURSE NAME:]],FIND(" - ", Train_Log[[#This Row],[COURSE NAME:]]), 13)</f>
        <v/>
      </c>
      <c r="T430" s="62">
        <f>MID(E430, FIND(" - ", E430) + 3, LEN(E430)) &amp; "_" &amp; TEXT(F430, "yyyymmdd") &amp; "_" &amp; TEXT(H430, "yyyymmdd")</f>
        <v/>
      </c>
    </row>
    <row r="431">
      <c r="B431" s="38" t="inlineStr">
        <is>
          <t>EE158</t>
        </is>
      </c>
      <c r="C431" s="38" t="inlineStr">
        <is>
          <t>No</t>
        </is>
      </c>
      <c r="D431" s="39" t="inlineStr">
        <is>
          <t>4467883</t>
        </is>
      </c>
      <c r="E431" s="38" t="inlineStr">
        <is>
          <t>OPTIONAL RETIREMENTS - MAILBUILD</t>
        </is>
      </c>
      <c r="F431" s="44" t="n">
        <v>45330</v>
      </c>
      <c r="G431" s="40" t="n">
        <v>45331</v>
      </c>
      <c r="H431" s="44" t="n">
        <v>45331</v>
      </c>
      <c r="I431" s="41" t="n">
        <v>2</v>
      </c>
      <c r="J431" s="42" t="n">
        <v>2</v>
      </c>
      <c r="K431" s="38" t="inlineStr">
        <is>
          <t>TR 10</t>
        </is>
      </c>
      <c r="L431" s="38" t="inlineStr">
        <is>
          <t>TR 7</t>
        </is>
      </c>
      <c r="M431" s="38" t="inlineStr">
        <is>
          <t>--</t>
        </is>
      </c>
      <c r="N431" s="38" t="inlineStr">
        <is>
          <t>--</t>
        </is>
      </c>
      <c r="O431" s="38" t="inlineStr">
        <is>
          <t>JJH</t>
        </is>
      </c>
      <c r="Q431" s="62">
        <f>IF(C431="Yes", 1, IF(C431="no", 0, IF(C431= "tardy", SUM(J431/I431),"")))</f>
        <v/>
      </c>
      <c r="R431" s="62">
        <f>LEFT(Train_Log[[#This Row],[COURSE NAME:]],FIND(" - ", Train_Log[[#This Row],[COURSE NAME:]]) -1)</f>
        <v/>
      </c>
      <c r="S431" s="62">
        <f>MID(Train_Log[[#This Row],[COURSE NAME:]],FIND(" - ", Train_Log[[#This Row],[COURSE NAME:]]), 13)</f>
        <v/>
      </c>
      <c r="T431" s="62">
        <f>MID(E431, FIND(" - ", E431) + 3, LEN(E431)) &amp; "_" &amp; TEXT(F431, "yyyymmdd") &amp; "_" &amp; TEXT(H431, "yyyymmdd")</f>
        <v/>
      </c>
    </row>
    <row r="432">
      <c r="B432" s="38" t="inlineStr">
        <is>
          <t>EE41</t>
        </is>
      </c>
      <c r="C432" s="38" t="inlineStr">
        <is>
          <t>No</t>
        </is>
      </c>
      <c r="D432" s="39" t="inlineStr">
        <is>
          <t>4428700</t>
        </is>
      </c>
      <c r="E432" s="38" t="inlineStr">
        <is>
          <t>PHONES - BENEFITS</t>
        </is>
      </c>
      <c r="F432" s="44" t="n">
        <v>45402</v>
      </c>
      <c r="G432" s="40" t="n">
        <v>45402</v>
      </c>
      <c r="H432" s="44" t="n">
        <v>45402</v>
      </c>
      <c r="I432" s="41" t="n">
        <v>2</v>
      </c>
      <c r="J432" s="42" t="n">
        <v>2</v>
      </c>
      <c r="K432" s="38" t="inlineStr">
        <is>
          <t>TR 7</t>
        </is>
      </c>
      <c r="L432" s="38" t="inlineStr">
        <is>
          <t>TR 9</t>
        </is>
      </c>
      <c r="M432" s="38" t="inlineStr">
        <is>
          <t>--</t>
        </is>
      </c>
      <c r="N432" s="38" t="inlineStr">
        <is>
          <t>--</t>
        </is>
      </c>
      <c r="O432" s="38" t="inlineStr">
        <is>
          <t>JJH</t>
        </is>
      </c>
      <c r="Q432" s="62">
        <f>IF(C432="Yes", 1, IF(C432="no", 0, IF(C432= "tardy", SUM(J432/I432),"")))</f>
        <v/>
      </c>
      <c r="R432" s="62">
        <f>LEFT(Train_Log[[#This Row],[COURSE NAME:]],FIND(" - ", Train_Log[[#This Row],[COURSE NAME:]]) -1)</f>
        <v/>
      </c>
      <c r="S432" s="62">
        <f>MID(Train_Log[[#This Row],[COURSE NAME:]],FIND(" - ", Train_Log[[#This Row],[COURSE NAME:]]), 13)</f>
        <v/>
      </c>
      <c r="T432" s="62">
        <f>MID(E432, FIND(" - ", E432) + 3, LEN(E432)) &amp; "_" &amp; TEXT(F432, "yyyymmdd") &amp; "_" &amp; TEXT(H432, "yyyymmdd")</f>
        <v/>
      </c>
    </row>
    <row r="433">
      <c r="B433" s="38" t="inlineStr">
        <is>
          <t>EE185</t>
        </is>
      </c>
      <c r="C433" s="38" t="inlineStr">
        <is>
          <t>No</t>
        </is>
      </c>
      <c r="D433" s="39" t="inlineStr">
        <is>
          <t>4469207</t>
        </is>
      </c>
      <c r="E433" s="38" t="inlineStr">
        <is>
          <t>RTR - EFORM SEPARATIONS TRAINING</t>
        </is>
      </c>
      <c r="F433" s="44" t="n">
        <v>45587</v>
      </c>
      <c r="G433" s="40" t="n">
        <v>45587</v>
      </c>
      <c r="H433" s="44" t="n">
        <v>45587</v>
      </c>
      <c r="I433" s="41" t="n">
        <v>2</v>
      </c>
      <c r="J433" s="42" t="n">
        <v>2</v>
      </c>
      <c r="K433" s="38" t="inlineStr">
        <is>
          <t>TR 7</t>
        </is>
      </c>
      <c r="L433" s="38" t="inlineStr">
        <is>
          <t>TR 10</t>
        </is>
      </c>
      <c r="M433" s="38" t="inlineStr">
        <is>
          <t>--</t>
        </is>
      </c>
      <c r="N433" s="38" t="inlineStr">
        <is>
          <t>--</t>
        </is>
      </c>
      <c r="O433" s="38" t="inlineStr">
        <is>
          <t>JJH</t>
        </is>
      </c>
      <c r="Q433" s="62">
        <f>IF(C433="Yes", 1, IF(C433="no", 0, IF(C433= "tardy", SUM(J433/I433),"")))</f>
        <v/>
      </c>
      <c r="R433" s="62">
        <f>LEFT(Train_Log[[#This Row],[COURSE NAME:]],FIND(" - ", Train_Log[[#This Row],[COURSE NAME:]]) -1)</f>
        <v/>
      </c>
      <c r="S433" s="62">
        <f>MID(Train_Log[[#This Row],[COURSE NAME:]],FIND(" - ", Train_Log[[#This Row],[COURSE NAME:]]), 13)</f>
        <v/>
      </c>
      <c r="T433" s="62">
        <f>MID(E433, FIND(" - ", E433) + 3, LEN(E433)) &amp; "_" &amp; TEXT(F433, "yyyymmdd") &amp; "_" &amp; TEXT(H433, "yyyymmdd")</f>
        <v/>
      </c>
    </row>
    <row r="434">
      <c r="B434" s="38" t="inlineStr">
        <is>
          <t>EE141</t>
        </is>
      </c>
      <c r="C434" s="38" t="inlineStr">
        <is>
          <t>No</t>
        </is>
      </c>
      <c r="D434" s="39" t="inlineStr">
        <is>
          <t>6501520</t>
        </is>
      </c>
      <c r="E434" s="38" t="inlineStr">
        <is>
          <t>OPTIONAL RETIREMENTS - MAILBUILD</t>
        </is>
      </c>
      <c r="F434" s="44" t="n">
        <v>45456</v>
      </c>
      <c r="G434" s="40" t="n">
        <v>45456</v>
      </c>
      <c r="H434" s="44" t="n">
        <v>45456</v>
      </c>
      <c r="I434" s="41" t="n">
        <v>4</v>
      </c>
      <c r="J434" s="42" t="n">
        <v>4</v>
      </c>
      <c r="K434" s="38" t="inlineStr">
        <is>
          <t>TR 2</t>
        </is>
      </c>
      <c r="L434" s="38" t="inlineStr">
        <is>
          <t>TR 5</t>
        </is>
      </c>
      <c r="M434" s="38" t="inlineStr">
        <is>
          <t>--</t>
        </is>
      </c>
      <c r="N434" s="38" t="inlineStr">
        <is>
          <t>--</t>
        </is>
      </c>
      <c r="O434" s="38" t="inlineStr">
        <is>
          <t>JJH</t>
        </is>
      </c>
      <c r="Q434" s="62">
        <f>IF(C434="Yes", 1, IF(C434="no", 0, IF(C434= "tardy", SUM(J434/I434),"")))</f>
        <v/>
      </c>
      <c r="R434" s="62">
        <f>LEFT(Train_Log[[#This Row],[COURSE NAME:]],FIND(" - ", Train_Log[[#This Row],[COURSE NAME:]]) -1)</f>
        <v/>
      </c>
      <c r="S434" s="62">
        <f>MID(Train_Log[[#This Row],[COURSE NAME:]],FIND(" - ", Train_Log[[#This Row],[COURSE NAME:]]), 13)</f>
        <v/>
      </c>
      <c r="T434" s="62">
        <f>MID(E434, FIND(" - ", E434) + 3, LEN(E434)) &amp; "_" &amp; TEXT(F434, "yyyymmdd") &amp; "_" &amp; TEXT(H434, "yyyymmdd")</f>
        <v/>
      </c>
    </row>
    <row r="435">
      <c r="B435" s="38" t="inlineStr">
        <is>
          <t>EE170</t>
        </is>
      </c>
      <c r="C435" s="38" t="inlineStr">
        <is>
          <t>tardy</t>
        </is>
      </c>
      <c r="D435" s="39" t="inlineStr">
        <is>
          <t>5251768</t>
        </is>
      </c>
      <c r="E435" s="38" t="inlineStr">
        <is>
          <t>OPTIONAL RETIREMENTS - MAILBUILD</t>
        </is>
      </c>
      <c r="F435" s="44" t="n">
        <v>45503</v>
      </c>
      <c r="G435" s="40" t="n">
        <v>45503</v>
      </c>
      <c r="H435" s="44" t="n">
        <v>45503</v>
      </c>
      <c r="I435" s="41" t="n">
        <v>2</v>
      </c>
      <c r="J435" s="42" t="n">
        <v>1.51</v>
      </c>
      <c r="K435" s="38" t="inlineStr">
        <is>
          <t>TR 2</t>
        </is>
      </c>
      <c r="L435" s="38" t="inlineStr">
        <is>
          <t>TR 8</t>
        </is>
      </c>
      <c r="M435" s="38" t="inlineStr">
        <is>
          <t>--</t>
        </is>
      </c>
      <c r="N435" s="38" t="inlineStr">
        <is>
          <t>--</t>
        </is>
      </c>
      <c r="O435" s="38" t="inlineStr">
        <is>
          <t>JJH</t>
        </is>
      </c>
      <c r="Q435" s="62">
        <f>IF(C435="Yes", 1, IF(C435="no", 0, IF(C435= "tardy", SUM(J435/I435),"")))</f>
        <v/>
      </c>
      <c r="R435" s="62">
        <f>LEFT(Train_Log[[#This Row],[COURSE NAME:]],FIND(" - ", Train_Log[[#This Row],[COURSE NAME:]]) -1)</f>
        <v/>
      </c>
      <c r="S435" s="62">
        <f>MID(Train_Log[[#This Row],[COURSE NAME:]],FIND(" - ", Train_Log[[#This Row],[COURSE NAME:]]), 13)</f>
        <v/>
      </c>
      <c r="T435" s="62">
        <f>MID(E435, FIND(" - ", E435) + 3, LEN(E435)) &amp; "_" &amp; TEXT(F435, "yyyymmdd") &amp; "_" &amp; TEXT(H435, "yyyymmdd")</f>
        <v/>
      </c>
    </row>
    <row r="436">
      <c r="B436" s="38" t="inlineStr">
        <is>
          <t>EE30</t>
        </is>
      </c>
      <c r="C436" s="38" t="inlineStr">
        <is>
          <t>No</t>
        </is>
      </c>
      <c r="D436" s="39" t="inlineStr">
        <is>
          <t>6471559</t>
        </is>
      </c>
      <c r="E436" s="38" t="inlineStr">
        <is>
          <t>RTR - EFORM SEPARATIONS TRAINING</t>
        </is>
      </c>
      <c r="F436" s="44" t="n">
        <v>45706</v>
      </c>
      <c r="G436" s="40" t="n">
        <v>45707</v>
      </c>
      <c r="H436" s="44" t="n">
        <v>45707</v>
      </c>
      <c r="I436" s="41" t="n">
        <v>3</v>
      </c>
      <c r="J436" s="42" t="n">
        <v>3</v>
      </c>
      <c r="K436" s="38" t="inlineStr">
        <is>
          <t>TR 2</t>
        </is>
      </c>
      <c r="L436" s="38" t="inlineStr">
        <is>
          <t>--</t>
        </is>
      </c>
      <c r="M436" s="38" t="inlineStr">
        <is>
          <t>--</t>
        </is>
      </c>
      <c r="N436" s="38" t="inlineStr">
        <is>
          <t>--</t>
        </is>
      </c>
      <c r="O436" s="38" t="inlineStr">
        <is>
          <t>JJH</t>
        </is>
      </c>
      <c r="Q436" s="62">
        <f>IF(C436="Yes", 1, IF(C436="no", 0, IF(C436= "tardy", SUM(J436/I436),"")))</f>
        <v/>
      </c>
      <c r="R436" s="62">
        <f>LEFT(Train_Log[[#This Row],[COURSE NAME:]],FIND(" - ", Train_Log[[#This Row],[COURSE NAME:]]) -1)</f>
        <v/>
      </c>
      <c r="S436" s="62">
        <f>MID(Train_Log[[#This Row],[COURSE NAME:]],FIND(" - ", Train_Log[[#This Row],[COURSE NAME:]]), 13)</f>
        <v/>
      </c>
      <c r="T436" s="62">
        <f>MID(E436, FIND(" - ", E436) + 3, LEN(E436)) &amp; "_" &amp; TEXT(F436, "yyyymmdd") &amp; "_" &amp; TEXT(H436, "yyyymmdd")</f>
        <v/>
      </c>
    </row>
    <row r="437">
      <c r="B437" s="38" t="inlineStr">
        <is>
          <t>EE140</t>
        </is>
      </c>
      <c r="C437" s="38" t="inlineStr">
        <is>
          <t>No</t>
        </is>
      </c>
      <c r="D437" s="39" t="inlineStr">
        <is>
          <t>5770667</t>
        </is>
      </c>
      <c r="E437" s="38" t="inlineStr">
        <is>
          <t>LWOP - HCES SU FACILITATION TRAINING</t>
        </is>
      </c>
      <c r="F437" s="44" t="n">
        <v>45488</v>
      </c>
      <c r="G437" s="40" t="n">
        <v>45488</v>
      </c>
      <c r="H437" s="44" t="n">
        <v>45488</v>
      </c>
      <c r="I437" s="41" t="n">
        <v>3</v>
      </c>
      <c r="J437" s="42" t="n">
        <v>3</v>
      </c>
      <c r="K437" s="38" t="inlineStr">
        <is>
          <t>TR 3</t>
        </is>
      </c>
      <c r="L437" s="38" t="inlineStr">
        <is>
          <t>TR 8</t>
        </is>
      </c>
      <c r="M437" s="38" t="inlineStr">
        <is>
          <t>--</t>
        </is>
      </c>
      <c r="N437" s="38" t="inlineStr">
        <is>
          <t>--</t>
        </is>
      </c>
      <c r="O437" s="38" t="inlineStr">
        <is>
          <t>JJH</t>
        </is>
      </c>
      <c r="Q437" s="62">
        <f>IF(C437="Yes", 1, IF(C437="no", 0, IF(C437= "tardy", SUM(J437/I437),"")))</f>
        <v/>
      </c>
      <c r="R437" s="62">
        <f>LEFT(Train_Log[[#This Row],[COURSE NAME:]],FIND(" - ", Train_Log[[#This Row],[COURSE NAME:]]) -1)</f>
        <v/>
      </c>
      <c r="S437" s="62">
        <f>MID(Train_Log[[#This Row],[COURSE NAME:]],FIND(" - ", Train_Log[[#This Row],[COURSE NAME:]]), 13)</f>
        <v/>
      </c>
      <c r="T437" s="62">
        <f>MID(E437, FIND(" - ", E437) + 3, LEN(E437)) &amp; "_" &amp; TEXT(F437, "yyyymmdd") &amp; "_" &amp; TEXT(H437, "yyyymmdd")</f>
        <v/>
      </c>
    </row>
    <row r="438">
      <c r="B438" s="38" t="inlineStr">
        <is>
          <t>EE12</t>
        </is>
      </c>
      <c r="C438" s="38" t="inlineStr">
        <is>
          <t>No</t>
        </is>
      </c>
      <c r="D438" s="39" t="inlineStr">
        <is>
          <t>6476705</t>
        </is>
      </c>
      <c r="E438" s="38" t="inlineStr">
        <is>
          <t>RTR - EFORM SEPARATIONS TRAINING</t>
        </is>
      </c>
      <c r="F438" s="44" t="n">
        <v>45749</v>
      </c>
      <c r="G438" s="40" t="n">
        <v>45750</v>
      </c>
      <c r="H438" s="44" t="n">
        <v>45750</v>
      </c>
      <c r="I438" s="41" t="n">
        <v>3</v>
      </c>
      <c r="J438" s="42" t="n">
        <v>3</v>
      </c>
      <c r="K438" s="38" t="inlineStr">
        <is>
          <t>TR 10</t>
        </is>
      </c>
      <c r="L438" s="38" t="inlineStr">
        <is>
          <t>TR 1</t>
        </is>
      </c>
      <c r="M438" s="38" t="inlineStr">
        <is>
          <t>--</t>
        </is>
      </c>
      <c r="N438" s="38" t="inlineStr">
        <is>
          <t>--</t>
        </is>
      </c>
      <c r="O438" s="38" t="inlineStr">
        <is>
          <t>JJH</t>
        </is>
      </c>
      <c r="Q438" s="62">
        <f>IF(C438="Yes", 1, IF(C438="no", 0, IF(C438= "tardy", SUM(J438/I438),"")))</f>
        <v/>
      </c>
      <c r="R438" s="62">
        <f>LEFT(Train_Log[[#This Row],[COURSE NAME:]],FIND(" - ", Train_Log[[#This Row],[COURSE NAME:]]) -1)</f>
        <v/>
      </c>
      <c r="S438" s="62">
        <f>MID(Train_Log[[#This Row],[COURSE NAME:]],FIND(" - ", Train_Log[[#This Row],[COURSE NAME:]]), 13)</f>
        <v/>
      </c>
      <c r="T438" s="62">
        <f>MID(E438, FIND(" - ", E438) + 3, LEN(E438)) &amp; "_" &amp; TEXT(F438, "yyyymmdd") &amp; "_" &amp; TEXT(H438, "yyyymmdd")</f>
        <v/>
      </c>
    </row>
    <row r="439">
      <c r="B439" s="38" t="inlineStr">
        <is>
          <t>EE39</t>
        </is>
      </c>
      <c r="C439" s="38" t="inlineStr">
        <is>
          <t>No</t>
        </is>
      </c>
      <c r="D439" s="39" t="inlineStr">
        <is>
          <t>4903091</t>
        </is>
      </c>
      <c r="E439" s="38" t="inlineStr">
        <is>
          <t>PHONES - EMPLOYMENT VERIFICATION</t>
        </is>
      </c>
      <c r="F439" s="44" t="n">
        <v>45386</v>
      </c>
      <c r="G439" s="40" t="n">
        <v>45390</v>
      </c>
      <c r="H439" s="44" t="n">
        <v>45390</v>
      </c>
      <c r="I439" s="41" t="n">
        <v>8</v>
      </c>
      <c r="J439" s="42" t="n">
        <v>8</v>
      </c>
      <c r="K439" s="38" t="inlineStr">
        <is>
          <t>TR 7</t>
        </is>
      </c>
      <c r="L439" s="38" t="inlineStr">
        <is>
          <t>TR 10</t>
        </is>
      </c>
      <c r="M439" s="38" t="inlineStr">
        <is>
          <t>--</t>
        </is>
      </c>
      <c r="N439" s="38" t="inlineStr">
        <is>
          <t>--</t>
        </is>
      </c>
      <c r="O439" s="38" t="inlineStr">
        <is>
          <t>JJH</t>
        </is>
      </c>
      <c r="Q439" s="62">
        <f>IF(C439="Yes", 1, IF(C439="no", 0, IF(C439= "tardy", SUM(J439/I439),"")))</f>
        <v/>
      </c>
      <c r="R439" s="62">
        <f>LEFT(Train_Log[[#This Row],[COURSE NAME:]],FIND(" - ", Train_Log[[#This Row],[COURSE NAME:]]) -1)</f>
        <v/>
      </c>
      <c r="S439" s="62">
        <f>MID(Train_Log[[#This Row],[COURSE NAME:]],FIND(" - ", Train_Log[[#This Row],[COURSE NAME:]]), 13)</f>
        <v/>
      </c>
      <c r="T439" s="62">
        <f>MID(E439, FIND(" - ", E439) + 3, LEN(E439)) &amp; "_" &amp; TEXT(F439, "yyyymmdd") &amp; "_" &amp; TEXT(H439, "yyyymmdd")</f>
        <v/>
      </c>
    </row>
    <row r="440">
      <c r="B440" s="38" t="inlineStr">
        <is>
          <t>EE59</t>
        </is>
      </c>
      <c r="C440" s="38" t="inlineStr">
        <is>
          <t>No</t>
        </is>
      </c>
      <c r="D440" s="39" t="inlineStr">
        <is>
          <t>5516807</t>
        </is>
      </c>
      <c r="E440" s="38" t="inlineStr">
        <is>
          <t>PHONES - BENEFITS</t>
        </is>
      </c>
      <c r="F440" s="44" t="n">
        <v>45695</v>
      </c>
      <c r="G440" s="40" t="n">
        <v>45697</v>
      </c>
      <c r="H440" s="44" t="n">
        <v>45697</v>
      </c>
      <c r="I440" s="41" t="n">
        <v>8</v>
      </c>
      <c r="J440" s="42" t="n">
        <v>8</v>
      </c>
      <c r="K440" s="38" t="inlineStr">
        <is>
          <t>TR 8</t>
        </is>
      </c>
      <c r="L440" s="38" t="inlineStr">
        <is>
          <t>TR 10</t>
        </is>
      </c>
      <c r="M440" s="38" t="inlineStr">
        <is>
          <t>--</t>
        </is>
      </c>
      <c r="N440" s="38" t="inlineStr">
        <is>
          <t>--</t>
        </is>
      </c>
      <c r="O440" s="38" t="inlineStr">
        <is>
          <t>JJH</t>
        </is>
      </c>
      <c r="Q440" s="62">
        <f>IF(C440="Yes", 1, IF(C440="no", 0, IF(C440= "tardy", SUM(J440/I440),"")))</f>
        <v/>
      </c>
      <c r="R440" s="62">
        <f>LEFT(Train_Log[[#This Row],[COURSE NAME:]],FIND(" - ", Train_Log[[#This Row],[COURSE NAME:]]) -1)</f>
        <v/>
      </c>
      <c r="S440" s="62">
        <f>MID(Train_Log[[#This Row],[COURSE NAME:]],FIND(" - ", Train_Log[[#This Row],[COURSE NAME:]]), 13)</f>
        <v/>
      </c>
      <c r="T440" s="62">
        <f>MID(E440, FIND(" - ", E440) + 3, LEN(E440)) &amp; "_" &amp; TEXT(F440, "yyyymmdd") &amp; "_" &amp; TEXT(H440, "yyyymmdd")</f>
        <v/>
      </c>
    </row>
    <row r="441">
      <c r="B441" s="38" t="inlineStr">
        <is>
          <t>EE61</t>
        </is>
      </c>
      <c r="C441" s="38" t="inlineStr">
        <is>
          <t>No</t>
        </is>
      </c>
      <c r="D441" t="inlineStr">
        <is>
          <t>4806516</t>
        </is>
      </c>
      <c r="E441" s="38" t="inlineStr">
        <is>
          <t>OPTIONAL RETIREMENTS - MAILBUILD</t>
        </is>
      </c>
      <c r="F441" s="40" t="n">
        <v>45605</v>
      </c>
      <c r="G441" s="40" t="n">
        <v>45605</v>
      </c>
      <c r="H441" s="40" t="n">
        <v>45605</v>
      </c>
      <c r="I441" s="41" t="n">
        <v>2</v>
      </c>
      <c r="J441" s="41" t="n">
        <v>2</v>
      </c>
      <c r="K441" s="38" t="inlineStr">
        <is>
          <t>TR 9</t>
        </is>
      </c>
      <c r="L441" s="38" t="inlineStr">
        <is>
          <t>TR 10</t>
        </is>
      </c>
      <c r="M441" s="38" t="inlineStr">
        <is>
          <t>--</t>
        </is>
      </c>
      <c r="N441" s="38" t="inlineStr">
        <is>
          <t>--</t>
        </is>
      </c>
      <c r="O441" s="38" t="inlineStr">
        <is>
          <t>JJH</t>
        </is>
      </c>
      <c r="Q441" s="62">
        <f>IF(C441="Yes", 1, IF(C441="no", 0, IF(C441= "tardy", SUM(J441/I441),"")))</f>
        <v/>
      </c>
      <c r="R441" s="62">
        <f>LEFT(Train_Log[[#This Row],[COURSE NAME:]],FIND(" - ", Train_Log[[#This Row],[COURSE NAME:]]) -1)</f>
        <v/>
      </c>
      <c r="S441" s="62">
        <f>MID(Train_Log[[#This Row],[COURSE NAME:]],FIND(" - ", Train_Log[[#This Row],[COURSE NAME:]]), 13)</f>
        <v/>
      </c>
      <c r="T441" s="62">
        <f>MID(E441, FIND(" - ", E441) + 3, LEN(E441)) &amp; "_" &amp; TEXT(F441, "yyyymmdd") &amp; "_" &amp; TEXT(H441, "yyyymmdd")</f>
        <v/>
      </c>
    </row>
    <row r="442">
      <c r="B442" s="38" t="inlineStr">
        <is>
          <t>EE133</t>
        </is>
      </c>
      <c r="C442" s="38" t="inlineStr">
        <is>
          <t>No</t>
        </is>
      </c>
      <c r="D442" t="inlineStr">
        <is>
          <t>4381301</t>
        </is>
      </c>
      <c r="E442" s="38" t="inlineStr">
        <is>
          <t>PHONES - LWOP</t>
        </is>
      </c>
      <c r="F442" s="40" t="n">
        <v>45422</v>
      </c>
      <c r="G442" s="40" t="n">
        <v>45423</v>
      </c>
      <c r="H442" s="40" t="n">
        <v>45423</v>
      </c>
      <c r="I442" s="41" t="n">
        <v>2</v>
      </c>
      <c r="J442" s="41" t="n">
        <v>2</v>
      </c>
      <c r="K442" s="38" t="inlineStr">
        <is>
          <t>TR 4</t>
        </is>
      </c>
      <c r="L442" s="38" t="inlineStr">
        <is>
          <t>TR 4</t>
        </is>
      </c>
      <c r="M442" s="38" t="inlineStr">
        <is>
          <t>--</t>
        </is>
      </c>
      <c r="N442" s="38" t="inlineStr">
        <is>
          <t>--</t>
        </is>
      </c>
      <c r="O442" s="38" t="inlineStr">
        <is>
          <t>JJH</t>
        </is>
      </c>
      <c r="P442" s="50" t="n"/>
      <c r="Q442" s="62">
        <f>IF(C442="Yes", 1, IF(C442="no", 0, IF(C442= "tardy", SUM(J442/I442),"")))</f>
        <v/>
      </c>
      <c r="R442" s="62">
        <f>LEFT(Train_Log[[#This Row],[COURSE NAME:]],FIND(" - ", Train_Log[[#This Row],[COURSE NAME:]]) -1)</f>
        <v/>
      </c>
      <c r="S442" s="62">
        <f>MID(Train_Log[[#This Row],[COURSE NAME:]],FIND(" - ", Train_Log[[#This Row],[COURSE NAME:]]), 13)</f>
        <v/>
      </c>
      <c r="T442" s="62">
        <f>MID(E442, FIND(" - ", E442) + 3, LEN(E442)) &amp; "_" &amp; TEXT(F442, "yyyymmdd") &amp; "_" &amp; TEXT(H442, "yyyymmdd")</f>
        <v/>
      </c>
    </row>
    <row r="443">
      <c r="B443" s="38" t="inlineStr">
        <is>
          <t>EE33</t>
        </is>
      </c>
      <c r="C443" s="38" t="inlineStr">
        <is>
          <t>No</t>
        </is>
      </c>
      <c r="D443" s="39" t="inlineStr">
        <is>
          <t>4669659</t>
        </is>
      </c>
      <c r="E443" s="38" t="inlineStr">
        <is>
          <t>PHONES - BENEFITS</t>
        </is>
      </c>
      <c r="F443" s="40" t="n">
        <v>45732</v>
      </c>
      <c r="G443" s="40" t="n">
        <v>45732</v>
      </c>
      <c r="H443" s="40" t="n">
        <v>45732</v>
      </c>
      <c r="I443" s="41" t="n">
        <v>4</v>
      </c>
      <c r="J443" s="41" t="n">
        <v>4</v>
      </c>
      <c r="K443" s="38" t="inlineStr">
        <is>
          <t>TR 4</t>
        </is>
      </c>
      <c r="L443" s="38" t="inlineStr">
        <is>
          <t>--</t>
        </is>
      </c>
      <c r="M443" s="38" t="inlineStr">
        <is>
          <t>--</t>
        </is>
      </c>
      <c r="N443" s="38" t="inlineStr">
        <is>
          <t>--</t>
        </is>
      </c>
      <c r="O443" s="38" t="inlineStr">
        <is>
          <t>JJH</t>
        </is>
      </c>
      <c r="P443" s="44" t="n"/>
      <c r="Q443" s="62">
        <f>IF(C443="Yes", 1, IF(C443="no", 0, IF(C443= "tardy", SUM(J443/I443),"")))</f>
        <v/>
      </c>
      <c r="R443" s="62">
        <f>LEFT(Train_Log[[#This Row],[COURSE NAME:]],FIND(" - ", Train_Log[[#This Row],[COURSE NAME:]]) -1)</f>
        <v/>
      </c>
      <c r="S443" s="62">
        <f>MID(Train_Log[[#This Row],[COURSE NAME:]],FIND(" - ", Train_Log[[#This Row],[COURSE NAME:]]), 13)</f>
        <v/>
      </c>
      <c r="T443" s="62">
        <f>MID(E443, FIND(" - ", E443) + 3, LEN(E443)) &amp; "_" &amp; TEXT(F443, "yyyymmdd") &amp; "_" &amp; TEXT(H443, "yyyymmdd")</f>
        <v/>
      </c>
    </row>
    <row r="444">
      <c r="B444" s="38" t="inlineStr">
        <is>
          <t>EE38</t>
        </is>
      </c>
      <c r="C444" s="38" t="inlineStr">
        <is>
          <t>No</t>
        </is>
      </c>
      <c r="D444" s="39" t="inlineStr">
        <is>
          <t>4652128</t>
        </is>
      </c>
      <c r="E444" s="38" t="inlineStr">
        <is>
          <t>RTR - EFORM SEPARATIONS TRAINING</t>
        </is>
      </c>
      <c r="F444" s="40" t="n">
        <v>45626</v>
      </c>
      <c r="G444" s="40" t="n">
        <v>45630</v>
      </c>
      <c r="H444" s="40" t="n">
        <v>45630</v>
      </c>
      <c r="I444" s="41" t="n">
        <v>2</v>
      </c>
      <c r="J444" s="41" t="n">
        <v>2</v>
      </c>
      <c r="K444" s="38" t="inlineStr">
        <is>
          <t>TR 2</t>
        </is>
      </c>
      <c r="L444" s="38" t="inlineStr">
        <is>
          <t>TR 7</t>
        </is>
      </c>
      <c r="M444" s="38" t="inlineStr">
        <is>
          <t>--</t>
        </is>
      </c>
      <c r="N444" s="38" t="inlineStr">
        <is>
          <t>--</t>
        </is>
      </c>
      <c r="O444" s="38" t="inlineStr">
        <is>
          <t>JJH</t>
        </is>
      </c>
      <c r="P444" s="44" t="n"/>
      <c r="Q444" s="62">
        <f>IF(C444="Yes", 1, IF(C444="no", 0, IF(C444= "tardy", SUM(J444/I444),"")))</f>
        <v/>
      </c>
      <c r="R444" s="62">
        <f>LEFT(Train_Log[[#This Row],[COURSE NAME:]],FIND(" - ", Train_Log[[#This Row],[COURSE NAME:]]) -1)</f>
        <v/>
      </c>
      <c r="S444" s="62">
        <f>MID(Train_Log[[#This Row],[COURSE NAME:]],FIND(" - ", Train_Log[[#This Row],[COURSE NAME:]]), 13)</f>
        <v/>
      </c>
      <c r="T444" s="62">
        <f>MID(E444, FIND(" - ", E444) + 3, LEN(E444)) &amp; "_" &amp; TEXT(F444, "yyyymmdd") &amp; "_" &amp; TEXT(H444, "yyyymmdd")</f>
        <v/>
      </c>
    </row>
    <row r="445">
      <c r="B445" s="38" t="inlineStr">
        <is>
          <t>EE143</t>
        </is>
      </c>
      <c r="C445" s="38" t="inlineStr">
        <is>
          <t>No</t>
        </is>
      </c>
      <c r="D445" t="inlineStr">
        <is>
          <t>5613831</t>
        </is>
      </c>
      <c r="E445" s="38" t="inlineStr">
        <is>
          <t>LWOP - HCES SU FACILITATION TRAINING</t>
        </is>
      </c>
      <c r="F445" s="40" t="n">
        <v>45632</v>
      </c>
      <c r="G445" s="40" t="n">
        <v>45632</v>
      </c>
      <c r="H445" s="40" t="n">
        <v>45632</v>
      </c>
      <c r="I445" s="41" t="n">
        <v>2</v>
      </c>
      <c r="J445" s="41" t="n">
        <v>2</v>
      </c>
      <c r="K445" s="38" t="inlineStr">
        <is>
          <t>TR 10</t>
        </is>
      </c>
      <c r="L445" s="38" t="inlineStr">
        <is>
          <t>TR 10</t>
        </is>
      </c>
      <c r="M445" s="38" t="inlineStr">
        <is>
          <t>--</t>
        </is>
      </c>
      <c r="N445" s="38" t="inlineStr">
        <is>
          <t>--</t>
        </is>
      </c>
      <c r="O445" s="38" t="inlineStr">
        <is>
          <t>JJH</t>
        </is>
      </c>
      <c r="Q445" s="62">
        <f>IF(C445="Yes", 1, IF(C445="no", 0, IF(C445= "tardy", SUM(J445/I445),"")))</f>
        <v/>
      </c>
      <c r="R445" s="62">
        <f>LEFT(Train_Log[[#This Row],[COURSE NAME:]],FIND(" - ", Train_Log[[#This Row],[COURSE NAME:]]) -1)</f>
        <v/>
      </c>
      <c r="S445" s="62">
        <f>MID(Train_Log[[#This Row],[COURSE NAME:]],FIND(" - ", Train_Log[[#This Row],[COURSE NAME:]]), 13)</f>
        <v/>
      </c>
      <c r="T445" s="62">
        <f>MID(E445, FIND(" - ", E445) + 3, LEN(E445)) &amp; "_" &amp; TEXT(F445, "yyyymmdd") &amp; "_" &amp; TEXT(H445, "yyyymmdd")</f>
        <v/>
      </c>
    </row>
    <row r="446">
      <c r="B446" s="38" t="inlineStr">
        <is>
          <t>EE134</t>
        </is>
      </c>
      <c r="C446" s="38" t="inlineStr">
        <is>
          <t>No</t>
        </is>
      </c>
      <c r="D446" t="inlineStr">
        <is>
          <t>4197620</t>
        </is>
      </c>
      <c r="E446" s="38" t="inlineStr">
        <is>
          <t>LWOP - HCES SU FACILITATION TRAINING</t>
        </is>
      </c>
      <c r="F446" s="40" t="n">
        <v>45414</v>
      </c>
      <c r="G446" s="40" t="n">
        <v>45415</v>
      </c>
      <c r="H446" s="40" t="n">
        <v>45415</v>
      </c>
      <c r="I446" s="41" t="n">
        <v>8</v>
      </c>
      <c r="J446" s="41" t="n">
        <v>8</v>
      </c>
      <c r="K446" s="38" t="inlineStr">
        <is>
          <t>TR 10</t>
        </is>
      </c>
      <c r="L446" s="38" t="inlineStr">
        <is>
          <t>TR 10</t>
        </is>
      </c>
      <c r="M446" s="38" t="inlineStr">
        <is>
          <t>--</t>
        </is>
      </c>
      <c r="N446" s="38" t="inlineStr">
        <is>
          <t>--</t>
        </is>
      </c>
      <c r="O446" s="38" t="inlineStr">
        <is>
          <t>JJH</t>
        </is>
      </c>
      <c r="P446" s="59" t="n"/>
      <c r="Q446" s="62">
        <f>IF(C446="Yes", 1, IF(C446="no", 0, IF(C446= "tardy", SUM(J446/I446),"")))</f>
        <v/>
      </c>
      <c r="R446" s="62">
        <f>LEFT(Train_Log[[#This Row],[COURSE NAME:]],FIND(" - ", Train_Log[[#This Row],[COURSE NAME:]]) -1)</f>
        <v/>
      </c>
      <c r="S446" s="62">
        <f>MID(Train_Log[[#This Row],[COURSE NAME:]],FIND(" - ", Train_Log[[#This Row],[COURSE NAME:]]), 13)</f>
        <v/>
      </c>
      <c r="T446" s="62">
        <f>MID(E446, FIND(" - ", E446) + 3, LEN(E446)) &amp; "_" &amp; TEXT(F446, "yyyymmdd") &amp; "_" &amp; TEXT(H446, "yyyymmdd")</f>
        <v/>
      </c>
    </row>
    <row r="447">
      <c r="B447" s="38" t="inlineStr">
        <is>
          <t>EE26</t>
        </is>
      </c>
      <c r="C447" s="38" t="inlineStr">
        <is>
          <t>No</t>
        </is>
      </c>
      <c r="D447" t="inlineStr">
        <is>
          <t>6285650</t>
        </is>
      </c>
      <c r="E447" s="38" t="inlineStr">
        <is>
          <t>PHONES - EMPLOYMENT VERIFICATION</t>
        </is>
      </c>
      <c r="F447" s="40" t="n">
        <v>45402</v>
      </c>
      <c r="G447" s="40" t="n">
        <v>45402</v>
      </c>
      <c r="H447" s="40" t="n">
        <v>45402</v>
      </c>
      <c r="I447" s="41" t="n">
        <v>3</v>
      </c>
      <c r="J447" s="41" t="n">
        <v>3</v>
      </c>
      <c r="K447" s="38" t="inlineStr">
        <is>
          <t>TR 7</t>
        </is>
      </c>
      <c r="L447" s="38" t="inlineStr">
        <is>
          <t>TR 5</t>
        </is>
      </c>
      <c r="M447" s="38" t="inlineStr">
        <is>
          <t>--</t>
        </is>
      </c>
      <c r="N447" s="38" t="inlineStr">
        <is>
          <t>--</t>
        </is>
      </c>
      <c r="O447" s="38" t="inlineStr">
        <is>
          <t>JJH</t>
        </is>
      </c>
      <c r="P447" s="59" t="n"/>
      <c r="Q447" s="62">
        <f>IF(C447="Yes", 1, IF(C447="no", 0, IF(C447= "tardy", SUM(J447/I447),"")))</f>
        <v/>
      </c>
      <c r="R447" s="62">
        <f>LEFT(Train_Log[[#This Row],[COURSE NAME:]],FIND(" - ", Train_Log[[#This Row],[COURSE NAME:]]) -1)</f>
        <v/>
      </c>
      <c r="S447" s="62">
        <f>MID(Train_Log[[#This Row],[COURSE NAME:]],FIND(" - ", Train_Log[[#This Row],[COURSE NAME:]]), 13)</f>
        <v/>
      </c>
      <c r="T447" s="62">
        <f>MID(E447, FIND(" - ", E447) + 3, LEN(E447)) &amp; "_" &amp; TEXT(F447, "yyyymmdd") &amp; "_" &amp; TEXT(H447, "yyyymmdd")</f>
        <v/>
      </c>
    </row>
    <row r="448">
      <c r="B448" s="38" t="inlineStr">
        <is>
          <t>EE99</t>
        </is>
      </c>
      <c r="C448" s="38" t="inlineStr">
        <is>
          <t>No</t>
        </is>
      </c>
      <c r="D448" t="inlineStr">
        <is>
          <t>6871480</t>
        </is>
      </c>
      <c r="E448" s="38" t="inlineStr">
        <is>
          <t>OPTIONAL RETIREMENTS - MAILBUILD</t>
        </is>
      </c>
      <c r="F448" s="40" t="n">
        <v>45783</v>
      </c>
      <c r="G448" s="40" t="n">
        <v>45783</v>
      </c>
      <c r="H448" s="40" t="n">
        <v>45783</v>
      </c>
      <c r="I448" s="41" t="n">
        <v>4</v>
      </c>
      <c r="J448" s="41" t="n">
        <v>4</v>
      </c>
      <c r="K448" s="38" t="inlineStr">
        <is>
          <t>TR 3</t>
        </is>
      </c>
      <c r="L448" s="38" t="inlineStr">
        <is>
          <t>TR 10</t>
        </is>
      </c>
      <c r="M448" s="38" t="inlineStr">
        <is>
          <t>--</t>
        </is>
      </c>
      <c r="N448" s="38" t="inlineStr">
        <is>
          <t>--</t>
        </is>
      </c>
      <c r="O448" s="38" t="inlineStr">
        <is>
          <t>JJH</t>
        </is>
      </c>
      <c r="P448" s="59" t="n"/>
      <c r="Q448" s="62">
        <f>IF(C448="Yes", 1, IF(C448="no", 0, IF(C448= "tardy", SUM(J448/I448),"")))</f>
        <v/>
      </c>
      <c r="R448" s="62">
        <f>LEFT(Train_Log[[#This Row],[COURSE NAME:]],FIND(" - ", Train_Log[[#This Row],[COURSE NAME:]]) -1)</f>
        <v/>
      </c>
      <c r="S448" s="62">
        <f>MID(Train_Log[[#This Row],[COURSE NAME:]],FIND(" - ", Train_Log[[#This Row],[COURSE NAME:]]), 13)</f>
        <v/>
      </c>
      <c r="T448" s="62">
        <f>MID(E448, FIND(" - ", E448) + 3, LEN(E448)) &amp; "_" &amp; TEXT(F448, "yyyymmdd") &amp; "_" &amp; TEXT(H448, "yyyymmdd")</f>
        <v/>
      </c>
    </row>
    <row r="449">
      <c r="B449" s="38" t="inlineStr">
        <is>
          <t>EE156</t>
        </is>
      </c>
      <c r="C449" s="38" t="inlineStr">
        <is>
          <t>No</t>
        </is>
      </c>
      <c r="D449" t="inlineStr">
        <is>
          <t>6688388</t>
        </is>
      </c>
      <c r="E449" s="38" t="inlineStr">
        <is>
          <t>LWOP - HCES SU FACILITATION TRAINING</t>
        </is>
      </c>
      <c r="F449" s="40" t="n">
        <v>45338</v>
      </c>
      <c r="G449" s="40" t="n">
        <v>45339</v>
      </c>
      <c r="H449" s="40" t="n">
        <v>45339</v>
      </c>
      <c r="I449" s="41" t="n">
        <v>3</v>
      </c>
      <c r="J449" s="41" t="n">
        <v>3</v>
      </c>
      <c r="K449" s="38" t="inlineStr">
        <is>
          <t>TR 4</t>
        </is>
      </c>
      <c r="L449" s="38" t="inlineStr">
        <is>
          <t>TR 1</t>
        </is>
      </c>
      <c r="M449" s="38" t="inlineStr">
        <is>
          <t>--</t>
        </is>
      </c>
      <c r="N449" s="38" t="inlineStr">
        <is>
          <t>--</t>
        </is>
      </c>
      <c r="O449" s="38" t="inlineStr">
        <is>
          <t>JJH</t>
        </is>
      </c>
      <c r="P449" s="59" t="n"/>
      <c r="Q449" s="62">
        <f>IF(C449="Yes", 1, IF(C449="no", 0, IF(C449= "tardy", SUM(J449/I449),"")))</f>
        <v/>
      </c>
      <c r="R449" s="62">
        <f>LEFT(Train_Log[[#This Row],[COURSE NAME:]],FIND(" - ", Train_Log[[#This Row],[COURSE NAME:]]) -1)</f>
        <v/>
      </c>
      <c r="S449" s="62">
        <f>MID(Train_Log[[#This Row],[COURSE NAME:]],FIND(" - ", Train_Log[[#This Row],[COURSE NAME:]]), 13)</f>
        <v/>
      </c>
      <c r="T449" s="62">
        <f>MID(E449, FIND(" - ", E449) + 3, LEN(E449)) &amp; "_" &amp; TEXT(F449, "yyyymmdd") &amp; "_" &amp; TEXT(H449, "yyyymmdd")</f>
        <v/>
      </c>
    </row>
    <row r="450">
      <c r="B450" t="inlineStr">
        <is>
          <t>EE122</t>
        </is>
      </c>
      <c r="C450" s="38" t="inlineStr">
        <is>
          <t>No</t>
        </is>
      </c>
      <c r="D450" t="inlineStr">
        <is>
          <t>6260634</t>
        </is>
      </c>
      <c r="E450" t="inlineStr">
        <is>
          <t>RTR - EFORM SEPARATIONS TRAINING</t>
        </is>
      </c>
      <c r="F450" s="111" t="n">
        <v>45680</v>
      </c>
      <c r="G450" s="111" t="n">
        <v>45680</v>
      </c>
      <c r="H450" s="111" t="n">
        <v>45680</v>
      </c>
      <c r="I450" t="n">
        <v>3</v>
      </c>
      <c r="J450" t="n">
        <v>3</v>
      </c>
      <c r="K450" t="inlineStr">
        <is>
          <t>TR 5</t>
        </is>
      </c>
      <c r="L450" t="inlineStr">
        <is>
          <t>TR 5</t>
        </is>
      </c>
      <c r="M450" t="inlineStr">
        <is>
          <t>--</t>
        </is>
      </c>
      <c r="N450" t="inlineStr">
        <is>
          <t>--</t>
        </is>
      </c>
      <c r="O450" t="inlineStr">
        <is>
          <t>JJH</t>
        </is>
      </c>
      <c r="Q450" s="62">
        <f>IF(C450="Yes", 1, IF(C450="no", 0, IF(C450= "tardy", SUM(J450/I450),"")))</f>
        <v/>
      </c>
      <c r="R450" s="62">
        <f>LEFT(Train_Log[[#This Row],[COURSE NAME:]],FIND(" - ", Train_Log[[#This Row],[COURSE NAME:]]) -1)</f>
        <v/>
      </c>
      <c r="S450" s="62">
        <f>MID(Train_Log[[#This Row],[COURSE NAME:]],FIND(" - ", Train_Log[[#This Row],[COURSE NAME:]]), 13)</f>
        <v/>
      </c>
      <c r="T450" s="62">
        <f>MID(E450, FIND(" - ", E450) + 3, LEN(E450)) &amp; "_" &amp; TEXT(F450, "yyyymmdd") &amp; "_" &amp; TEXT(H450, "yyyymmdd")</f>
        <v/>
      </c>
    </row>
    <row r="451">
      <c r="B451" t="inlineStr">
        <is>
          <t>EE126</t>
        </is>
      </c>
      <c r="C451" t="inlineStr">
        <is>
          <t>No</t>
        </is>
      </c>
      <c r="D451" t="inlineStr">
        <is>
          <t>6447514</t>
        </is>
      </c>
      <c r="E451" t="inlineStr">
        <is>
          <t>PHONES - EMPLOYMENT VERIFICATION</t>
        </is>
      </c>
      <c r="F451" s="111" t="n">
        <v>45532</v>
      </c>
      <c r="G451" s="111" t="n">
        <v>45532</v>
      </c>
      <c r="H451" s="111" t="n">
        <v>45532</v>
      </c>
      <c r="I451" t="n">
        <v>4</v>
      </c>
      <c r="J451" t="n">
        <v>4</v>
      </c>
      <c r="K451" t="inlineStr">
        <is>
          <t>TR 6</t>
        </is>
      </c>
      <c r="L451" t="inlineStr">
        <is>
          <t>TR 5</t>
        </is>
      </c>
      <c r="M451" t="inlineStr">
        <is>
          <t>--</t>
        </is>
      </c>
      <c r="N451" t="inlineStr">
        <is>
          <t>--</t>
        </is>
      </c>
      <c r="O451" t="inlineStr">
        <is>
          <t>JJH</t>
        </is>
      </c>
      <c r="Q451" s="62">
        <f>IF(C451="Yes", 1, IF(C451="no", 0, IF(C451= "tardy", SUM(J451/I451),"")))</f>
        <v/>
      </c>
      <c r="R451">
        <f>LEFT(Train_Log[[#This Row],[COURSE NAME:]],FIND(" - ", Train_Log[[#This Row],[COURSE NAME:]]) -1)</f>
        <v/>
      </c>
      <c r="S451">
        <f>MID(Train_Log[[#This Row],[COURSE NAME:]],FIND(" - ", Train_Log[[#This Row],[COURSE NAME:]]), 13)</f>
        <v/>
      </c>
      <c r="T451">
        <f>MID(E451, FIND(" - ", E451) + 3, LEN(E451)) &amp; "_" &amp; TEXT(F451, "yyyymmdd") &amp; "_" &amp; TEXT(H451, "yyyymmdd")</f>
        <v/>
      </c>
    </row>
    <row r="452">
      <c r="B452" t="inlineStr">
        <is>
          <t>EE187</t>
        </is>
      </c>
      <c r="C452" t="inlineStr">
        <is>
          <t>No</t>
        </is>
      </c>
      <c r="D452" t="inlineStr">
        <is>
          <t>5289807</t>
        </is>
      </c>
      <c r="E452" t="inlineStr">
        <is>
          <t>LWOP - HCES SU FACILITATION TRAINING</t>
        </is>
      </c>
      <c r="F452" s="111" t="n">
        <v>45390</v>
      </c>
      <c r="G452" s="111" t="n">
        <v>45390</v>
      </c>
      <c r="H452" s="111" t="n">
        <v>45390</v>
      </c>
      <c r="I452" t="n">
        <v>4</v>
      </c>
      <c r="J452" t="n">
        <v>4</v>
      </c>
      <c r="K452" t="inlineStr">
        <is>
          <t>TR 8</t>
        </is>
      </c>
      <c r="L452" t="inlineStr">
        <is>
          <t>TR 9</t>
        </is>
      </c>
      <c r="M452" t="inlineStr">
        <is>
          <t>--</t>
        </is>
      </c>
      <c r="N452" t="inlineStr">
        <is>
          <t>--</t>
        </is>
      </c>
      <c r="O452" t="inlineStr">
        <is>
          <t>JJH</t>
        </is>
      </c>
      <c r="Q452" s="62">
        <f>IF(C452="Yes", 1, IF(C452="no", 0, IF(C452= "tardy", SUM(J452/I452),"")))</f>
        <v/>
      </c>
      <c r="R452">
        <f>LEFT(Train_Log[[#This Row],[COURSE NAME:]],FIND(" - ", Train_Log[[#This Row],[COURSE NAME:]]) -1)</f>
        <v/>
      </c>
      <c r="S452">
        <f>MID(Train_Log[[#This Row],[COURSE NAME:]],FIND(" - ", Train_Log[[#This Row],[COURSE NAME:]]), 13)</f>
        <v/>
      </c>
      <c r="T452">
        <f>MID(E452, FIND(" - ", E452) + 3, LEN(E452)) &amp; "_" &amp; TEXT(F452, "yyyymmdd") &amp; "_" &amp; TEXT(H452, "yyyymmdd")</f>
        <v/>
      </c>
    </row>
    <row r="453">
      <c r="B453" t="inlineStr">
        <is>
          <t>EE96</t>
        </is>
      </c>
      <c r="C453" t="inlineStr">
        <is>
          <t>No</t>
        </is>
      </c>
      <c r="D453" t="inlineStr">
        <is>
          <t>6886360</t>
        </is>
      </c>
      <c r="E453" t="inlineStr">
        <is>
          <t>PHONES - BENEFITS</t>
        </is>
      </c>
      <c r="F453" s="111" t="n">
        <v>45461</v>
      </c>
      <c r="G453" s="111" t="n">
        <v>45461</v>
      </c>
      <c r="H453" s="111" t="n">
        <v>45461</v>
      </c>
      <c r="I453" t="n">
        <v>8</v>
      </c>
      <c r="J453" t="n">
        <v>8</v>
      </c>
      <c r="K453" t="inlineStr">
        <is>
          <t>TR 7</t>
        </is>
      </c>
      <c r="L453" t="inlineStr">
        <is>
          <t>TR 3</t>
        </is>
      </c>
      <c r="M453" t="inlineStr">
        <is>
          <t>--</t>
        </is>
      </c>
      <c r="N453" t="inlineStr">
        <is>
          <t>--</t>
        </is>
      </c>
      <c r="O453" t="inlineStr">
        <is>
          <t>JJH</t>
        </is>
      </c>
      <c r="Q453" s="62">
        <f>IF(C453="Yes", 1, IF(C453="no", 0, IF(C453= "tardy", SUM(J453/I453),"")))</f>
        <v/>
      </c>
      <c r="R453">
        <f>LEFT(Train_Log[[#This Row],[COURSE NAME:]],FIND(" - ", Train_Log[[#This Row],[COURSE NAME:]]) -1)</f>
        <v/>
      </c>
      <c r="S453">
        <f>MID(Train_Log[[#This Row],[COURSE NAME:]],FIND(" - ", Train_Log[[#This Row],[COURSE NAME:]]), 13)</f>
        <v/>
      </c>
      <c r="T453">
        <f>MID(E453, FIND(" - ", E453) + 3, LEN(E453)) &amp; "_" &amp; TEXT(F453, "yyyymmdd") &amp; "_" &amp; TEXT(H453, "yyyymmdd")</f>
        <v/>
      </c>
    </row>
    <row r="454">
      <c r="B454" t="inlineStr">
        <is>
          <t>EE135</t>
        </is>
      </c>
      <c r="C454" t="inlineStr">
        <is>
          <t>No</t>
        </is>
      </c>
      <c r="D454" t="inlineStr">
        <is>
          <t>4459901</t>
        </is>
      </c>
      <c r="E454" t="inlineStr">
        <is>
          <t>PHONES - BENEFITS</t>
        </is>
      </c>
      <c r="F454" s="111" t="n">
        <v>45476</v>
      </c>
      <c r="G454" s="111" t="n">
        <v>45476</v>
      </c>
      <c r="H454" s="111" t="n">
        <v>45476</v>
      </c>
      <c r="I454" t="n">
        <v>2</v>
      </c>
      <c r="J454" t="n">
        <v>2</v>
      </c>
      <c r="K454" t="inlineStr">
        <is>
          <t>TR 1</t>
        </is>
      </c>
      <c r="L454" t="inlineStr">
        <is>
          <t>TR 4</t>
        </is>
      </c>
      <c r="M454" t="inlineStr">
        <is>
          <t>--</t>
        </is>
      </c>
      <c r="N454" t="inlineStr">
        <is>
          <t>--</t>
        </is>
      </c>
      <c r="O454" t="inlineStr">
        <is>
          <t>JJH</t>
        </is>
      </c>
      <c r="Q454" s="62">
        <f>IF(C454="Yes", 1, IF(C454="no", 0, IF(C454= "tardy", SUM(J454/I454),"")))</f>
        <v/>
      </c>
      <c r="R454">
        <f>LEFT(Train_Log[[#This Row],[COURSE NAME:]],FIND(" - ", Train_Log[[#This Row],[COURSE NAME:]]) -1)</f>
        <v/>
      </c>
      <c r="S454">
        <f>MID(Train_Log[[#This Row],[COURSE NAME:]],FIND(" - ", Train_Log[[#This Row],[COURSE NAME:]]), 13)</f>
        <v/>
      </c>
      <c r="T454">
        <f>MID(E454, FIND(" - ", E454) + 3, LEN(E454)) &amp; "_" &amp; TEXT(F454, "yyyymmdd") &amp; "_" &amp; TEXT(H454, "yyyymmdd")</f>
        <v/>
      </c>
    </row>
    <row r="455">
      <c r="B455" t="inlineStr">
        <is>
          <t>EE9</t>
        </is>
      </c>
      <c r="C455" t="inlineStr">
        <is>
          <t>No</t>
        </is>
      </c>
      <c r="D455" t="inlineStr">
        <is>
          <t>6838283</t>
        </is>
      </c>
      <c r="E455" t="inlineStr">
        <is>
          <t>OPTIONAL RETIREMENTS - MAILBUILD</t>
        </is>
      </c>
      <c r="F455" s="111" t="n">
        <v>45350</v>
      </c>
      <c r="G455" s="111" t="n">
        <v>45350</v>
      </c>
      <c r="H455" s="111" t="n">
        <v>45350</v>
      </c>
      <c r="I455" t="n">
        <v>3</v>
      </c>
      <c r="J455" t="n">
        <v>3</v>
      </c>
      <c r="K455" t="inlineStr">
        <is>
          <t>TR 6</t>
        </is>
      </c>
      <c r="L455" t="inlineStr">
        <is>
          <t>TR 8</t>
        </is>
      </c>
      <c r="M455" t="inlineStr">
        <is>
          <t>--</t>
        </is>
      </c>
      <c r="N455" t="inlineStr">
        <is>
          <t>--</t>
        </is>
      </c>
      <c r="O455" t="inlineStr">
        <is>
          <t>JJH</t>
        </is>
      </c>
      <c r="Q455" s="62">
        <f>IF(C455="Yes", 1, IF(C455="no", 0, IF(C455= "tardy", SUM(J455/I455),"")))</f>
        <v/>
      </c>
      <c r="R455">
        <f>LEFT(Train_Log[[#This Row],[COURSE NAME:]],FIND(" - ", Train_Log[[#This Row],[COURSE NAME:]]) -1)</f>
        <v/>
      </c>
      <c r="S455">
        <f>MID(Train_Log[[#This Row],[COURSE NAME:]],FIND(" - ", Train_Log[[#This Row],[COURSE NAME:]]), 13)</f>
        <v/>
      </c>
      <c r="T455">
        <f>MID(E455, FIND(" - ", E455) + 3, LEN(E455)) &amp; "_" &amp; TEXT(F455, "yyyymmdd") &amp; "_" &amp; TEXT(H455, "yyyymmdd")</f>
        <v/>
      </c>
    </row>
    <row r="456">
      <c r="B456" t="inlineStr">
        <is>
          <t>EE130</t>
        </is>
      </c>
      <c r="C456" t="inlineStr">
        <is>
          <t>tardy</t>
        </is>
      </c>
      <c r="D456" t="inlineStr">
        <is>
          <t>4580205</t>
        </is>
      </c>
      <c r="E456" t="inlineStr">
        <is>
          <t>LWOP - HCES SU FACILITATION TRAINING</t>
        </is>
      </c>
      <c r="F456" s="111" t="n">
        <v>45425</v>
      </c>
      <c r="G456" s="111" t="n">
        <v>45429</v>
      </c>
      <c r="H456" s="111" t="n">
        <v>45429</v>
      </c>
      <c r="I456" t="n">
        <v>3</v>
      </c>
      <c r="J456" t="n">
        <v>2.09</v>
      </c>
      <c r="K456" t="inlineStr">
        <is>
          <t>TR 8</t>
        </is>
      </c>
      <c r="L456" t="inlineStr">
        <is>
          <t>TR 3</t>
        </is>
      </c>
      <c r="M456" t="inlineStr">
        <is>
          <t>--</t>
        </is>
      </c>
      <c r="N456" t="inlineStr">
        <is>
          <t>--</t>
        </is>
      </c>
      <c r="O456" t="inlineStr">
        <is>
          <t>JJH</t>
        </is>
      </c>
      <c r="Q456" s="62">
        <f>IF(C456="Yes", 1, IF(C456="no", 0, IF(C456= "tardy", SUM(J456/I456),"")))</f>
        <v/>
      </c>
      <c r="R456">
        <f>LEFT(Train_Log[[#This Row],[COURSE NAME:]],FIND(" - ", Train_Log[[#This Row],[COURSE NAME:]]) -1)</f>
        <v/>
      </c>
      <c r="S456">
        <f>MID(Train_Log[[#This Row],[COURSE NAME:]],FIND(" - ", Train_Log[[#This Row],[COURSE NAME:]]), 13)</f>
        <v/>
      </c>
      <c r="T456">
        <f>MID(E456, FIND(" - ", E456) + 3, LEN(E456)) &amp; "_" &amp; TEXT(F456, "yyyymmdd") &amp; "_" &amp; TEXT(H456, "yyyymmdd")</f>
        <v/>
      </c>
    </row>
    <row r="457">
      <c r="B457" t="inlineStr">
        <is>
          <t>EE122</t>
        </is>
      </c>
      <c r="C457" t="inlineStr">
        <is>
          <t>No</t>
        </is>
      </c>
      <c r="D457" t="inlineStr">
        <is>
          <t>6260634</t>
        </is>
      </c>
      <c r="E457" t="inlineStr">
        <is>
          <t>LWOP - HCES SUPERUSER TRAINING</t>
        </is>
      </c>
      <c r="F457" s="111" t="n">
        <v>45651</v>
      </c>
      <c r="G457" s="111" t="n">
        <v>45651</v>
      </c>
      <c r="H457" s="111" t="n">
        <v>45651</v>
      </c>
      <c r="I457" t="n">
        <v>3</v>
      </c>
      <c r="J457" t="n">
        <v>3</v>
      </c>
      <c r="K457" t="inlineStr">
        <is>
          <t>TR 2</t>
        </is>
      </c>
      <c r="L457" t="inlineStr">
        <is>
          <t>TR 5</t>
        </is>
      </c>
      <c r="M457" t="inlineStr">
        <is>
          <t>--</t>
        </is>
      </c>
      <c r="N457" t="inlineStr">
        <is>
          <t>--</t>
        </is>
      </c>
      <c r="O457" t="inlineStr">
        <is>
          <t>JJH</t>
        </is>
      </c>
      <c r="Q457" s="62">
        <f>IF(C457="Yes", 1, IF(C457="no", 0, IF(C457= "tardy", SUM(J457/I457),"")))</f>
        <v/>
      </c>
      <c r="R457">
        <f>LEFT(Train_Log[[#This Row],[COURSE NAME:]],FIND(" - ", Train_Log[[#This Row],[COURSE NAME:]]) -1)</f>
        <v/>
      </c>
      <c r="S457">
        <f>MID(Train_Log[[#This Row],[COURSE NAME:]],FIND(" - ", Train_Log[[#This Row],[COURSE NAME:]]), 13)</f>
        <v/>
      </c>
      <c r="T457">
        <f>MID(E457, FIND(" - ", E457) + 3, LEN(E457)) &amp; "_" &amp; TEXT(F457, "yyyymmdd") &amp; "_" &amp; TEXT(H457, "yyyymmdd")</f>
        <v/>
      </c>
    </row>
    <row r="458">
      <c r="B458" t="inlineStr">
        <is>
          <t>EE8</t>
        </is>
      </c>
      <c r="C458" t="inlineStr">
        <is>
          <t>No</t>
        </is>
      </c>
      <c r="D458" t="inlineStr">
        <is>
          <t>4429895</t>
        </is>
      </c>
      <c r="E458" t="inlineStr">
        <is>
          <t>LWOP - HCES SU FACILITATION TRAINING</t>
        </is>
      </c>
      <c r="F458" s="111" t="n">
        <v>45349</v>
      </c>
      <c r="G458" s="111" t="n">
        <v>45349</v>
      </c>
      <c r="H458" s="111" t="n">
        <v>45349</v>
      </c>
      <c r="I458" t="n">
        <v>2</v>
      </c>
      <c r="J458" t="n">
        <v>2</v>
      </c>
      <c r="K458" t="inlineStr">
        <is>
          <t>TR 4</t>
        </is>
      </c>
      <c r="L458" t="inlineStr">
        <is>
          <t>--</t>
        </is>
      </c>
      <c r="M458" t="inlineStr">
        <is>
          <t>--</t>
        </is>
      </c>
      <c r="N458" t="inlineStr">
        <is>
          <t>--</t>
        </is>
      </c>
      <c r="O458" t="inlineStr">
        <is>
          <t>JJH</t>
        </is>
      </c>
      <c r="Q458" s="62">
        <f>IF(C458="Yes", 1, IF(C458="no", 0, IF(C458= "tardy", SUM(J458/I458),"")))</f>
        <v/>
      </c>
      <c r="R458">
        <f>LEFT(Train_Log[[#This Row],[COURSE NAME:]],FIND(" - ", Train_Log[[#This Row],[COURSE NAME:]]) -1)</f>
        <v/>
      </c>
      <c r="S458">
        <f>MID(Train_Log[[#This Row],[COURSE NAME:]],FIND(" - ", Train_Log[[#This Row],[COURSE NAME:]]), 13)</f>
        <v/>
      </c>
      <c r="T458">
        <f>MID(E458, FIND(" - ", E458) + 3, LEN(E458)) &amp; "_" &amp; TEXT(F458, "yyyymmdd") &amp; "_" &amp; TEXT(H458, "yyyymmdd")</f>
        <v/>
      </c>
    </row>
    <row r="459">
      <c r="B459" t="inlineStr">
        <is>
          <t>EE58</t>
        </is>
      </c>
      <c r="C459" t="inlineStr">
        <is>
          <t>No</t>
        </is>
      </c>
      <c r="D459" t="inlineStr">
        <is>
          <t>6594259</t>
        </is>
      </c>
      <c r="E459" t="inlineStr">
        <is>
          <t>SUPPORT - TRAINING - PTSP TRAINING</t>
        </is>
      </c>
      <c r="F459" s="111" t="n">
        <v>45574</v>
      </c>
      <c r="G459" s="111" t="n">
        <v>45578</v>
      </c>
      <c r="H459" s="111" t="n">
        <v>45578</v>
      </c>
      <c r="I459" t="n">
        <v>2</v>
      </c>
      <c r="J459" t="n">
        <v>2</v>
      </c>
      <c r="K459" t="inlineStr">
        <is>
          <t>TR 1</t>
        </is>
      </c>
      <c r="L459" t="inlineStr">
        <is>
          <t>TR 8</t>
        </is>
      </c>
      <c r="M459" t="inlineStr">
        <is>
          <t>--</t>
        </is>
      </c>
      <c r="N459" t="inlineStr">
        <is>
          <t>--</t>
        </is>
      </c>
      <c r="O459" t="inlineStr">
        <is>
          <t>JJH</t>
        </is>
      </c>
      <c r="Q459" s="62">
        <f>IF(C459="Yes", 1, IF(C459="no", 0, IF(C459= "tardy", SUM(J459/I459),"")))</f>
        <v/>
      </c>
      <c r="R459">
        <f>LEFT(Train_Log[[#This Row],[COURSE NAME:]],FIND(" - ", Train_Log[[#This Row],[COURSE NAME:]]) -1)</f>
        <v/>
      </c>
      <c r="S459">
        <f>MID(Train_Log[[#This Row],[COURSE NAME:]],FIND(" - ", Train_Log[[#This Row],[COURSE NAME:]]), 13)</f>
        <v/>
      </c>
      <c r="T459">
        <f>MID(E459, FIND(" - ", E459) + 3, LEN(E459)) &amp; "_" &amp; TEXT(F459, "yyyymmdd") &amp; "_" &amp; TEXT(H459, "yyyymmdd")</f>
        <v/>
      </c>
    </row>
    <row r="460">
      <c r="B460" t="inlineStr">
        <is>
          <t>EE34</t>
        </is>
      </c>
      <c r="C460" t="inlineStr">
        <is>
          <t>No</t>
        </is>
      </c>
      <c r="D460" t="inlineStr">
        <is>
          <t>6928208</t>
        </is>
      </c>
      <c r="E460" t="inlineStr">
        <is>
          <t>PHONES - LWOP</t>
        </is>
      </c>
      <c r="F460" s="111" t="n">
        <v>45307</v>
      </c>
      <c r="G460" s="111" t="n">
        <v>45307</v>
      </c>
      <c r="H460" s="111" t="n">
        <v>45307</v>
      </c>
      <c r="I460" t="n">
        <v>3</v>
      </c>
      <c r="J460" t="n">
        <v>3</v>
      </c>
      <c r="K460" t="inlineStr">
        <is>
          <t>TR 5</t>
        </is>
      </c>
      <c r="L460" t="inlineStr">
        <is>
          <t>TR 7</t>
        </is>
      </c>
      <c r="M460" t="inlineStr">
        <is>
          <t>--</t>
        </is>
      </c>
      <c r="N460" t="inlineStr">
        <is>
          <t>--</t>
        </is>
      </c>
      <c r="O460" t="inlineStr">
        <is>
          <t>JJH</t>
        </is>
      </c>
      <c r="Q460" s="62">
        <f>IF(C460="Yes", 1, IF(C460="no", 0, IF(C460= "tardy", SUM(J460/I460),"")))</f>
        <v/>
      </c>
      <c r="R460">
        <f>LEFT(Train_Log[[#This Row],[COURSE NAME:]],FIND(" - ", Train_Log[[#This Row],[COURSE NAME:]]) -1)</f>
        <v/>
      </c>
      <c r="S460">
        <f>MID(Train_Log[[#This Row],[COURSE NAME:]],FIND(" - ", Train_Log[[#This Row],[COURSE NAME:]]), 13)</f>
        <v/>
      </c>
      <c r="T460">
        <f>MID(E460, FIND(" - ", E460) + 3, LEN(E460)) &amp; "_" &amp; TEXT(F460, "yyyymmdd") &amp; "_" &amp; TEXT(H460, "yyyymmdd")</f>
        <v/>
      </c>
    </row>
    <row r="461">
      <c r="B461" t="inlineStr">
        <is>
          <t>EE97</t>
        </is>
      </c>
      <c r="C461" t="inlineStr">
        <is>
          <t>No</t>
        </is>
      </c>
      <c r="D461" t="inlineStr">
        <is>
          <t>6336016</t>
        </is>
      </c>
      <c r="E461" t="inlineStr">
        <is>
          <t>LWOP - HCES SUPERUSER TRAINING</t>
        </is>
      </c>
      <c r="F461" s="111" t="n">
        <v>45769</v>
      </c>
      <c r="G461" s="111" t="n">
        <v>45769</v>
      </c>
      <c r="H461" s="111" t="n">
        <v>45769</v>
      </c>
      <c r="I461" t="n">
        <v>3</v>
      </c>
      <c r="J461" t="n">
        <v>3</v>
      </c>
      <c r="K461" t="inlineStr">
        <is>
          <t>TR 9</t>
        </is>
      </c>
      <c r="L461" t="inlineStr">
        <is>
          <t>TR 10</t>
        </is>
      </c>
      <c r="M461" t="inlineStr">
        <is>
          <t>--</t>
        </is>
      </c>
      <c r="N461" t="inlineStr">
        <is>
          <t>--</t>
        </is>
      </c>
      <c r="O461" t="inlineStr">
        <is>
          <t>JJH</t>
        </is>
      </c>
      <c r="Q461" s="62">
        <f>IF(C461="Yes", 1, IF(C461="no", 0, IF(C461= "tardy", SUM(J461/I461),"")))</f>
        <v/>
      </c>
      <c r="R461">
        <f>LEFT(Train_Log[[#This Row],[COURSE NAME:]],FIND(" - ", Train_Log[[#This Row],[COURSE NAME:]]) -1)</f>
        <v/>
      </c>
      <c r="S461">
        <f>MID(Train_Log[[#This Row],[COURSE NAME:]],FIND(" - ", Train_Log[[#This Row],[COURSE NAME:]]), 13)</f>
        <v/>
      </c>
      <c r="T461">
        <f>MID(E461, FIND(" - ", E461) + 3, LEN(E461)) &amp; "_" &amp; TEXT(F461, "yyyymmdd") &amp; "_" &amp; TEXT(H461, "yyyymmdd")</f>
        <v/>
      </c>
    </row>
    <row r="462">
      <c r="B462" t="inlineStr">
        <is>
          <t>EE102</t>
        </is>
      </c>
      <c r="C462" t="inlineStr">
        <is>
          <t>No</t>
        </is>
      </c>
      <c r="D462" t="inlineStr">
        <is>
          <t>4960697</t>
        </is>
      </c>
      <c r="E462" t="inlineStr">
        <is>
          <t>PHONES - EMPLOYMENT VERIFICATION</t>
        </is>
      </c>
      <c r="F462" s="111" t="n">
        <v>45306</v>
      </c>
      <c r="G462" s="111" t="n">
        <v>45308</v>
      </c>
      <c r="H462" s="111" t="n">
        <v>45308</v>
      </c>
      <c r="I462" t="n">
        <v>3</v>
      </c>
      <c r="J462" t="n">
        <v>3</v>
      </c>
      <c r="K462" t="inlineStr">
        <is>
          <t>TR 9</t>
        </is>
      </c>
      <c r="L462" t="inlineStr">
        <is>
          <t>--</t>
        </is>
      </c>
      <c r="M462" t="inlineStr">
        <is>
          <t>--</t>
        </is>
      </c>
      <c r="N462" t="inlineStr">
        <is>
          <t>--</t>
        </is>
      </c>
      <c r="O462" t="inlineStr">
        <is>
          <t>JJH</t>
        </is>
      </c>
      <c r="Q462" s="62">
        <f>IF(C462="Yes", 1, IF(C462="no", 0, IF(C462= "tardy", SUM(J462/I462),"")))</f>
        <v/>
      </c>
      <c r="R462">
        <f>LEFT(Train_Log[[#This Row],[COURSE NAME:]],FIND(" - ", Train_Log[[#This Row],[COURSE NAME:]]) -1)</f>
        <v/>
      </c>
      <c r="S462">
        <f>MID(Train_Log[[#This Row],[COURSE NAME:]],FIND(" - ", Train_Log[[#This Row],[COURSE NAME:]]), 13)</f>
        <v/>
      </c>
      <c r="T462">
        <f>MID(E462, FIND(" - ", E462) + 3, LEN(E462)) &amp; "_" &amp; TEXT(F462, "yyyymmdd") &amp; "_" &amp; TEXT(H462, "yyyymmdd")</f>
        <v/>
      </c>
    </row>
    <row r="463">
      <c r="B463" t="inlineStr">
        <is>
          <t>EE153</t>
        </is>
      </c>
      <c r="C463" t="inlineStr">
        <is>
          <t>No</t>
        </is>
      </c>
      <c r="D463" t="inlineStr">
        <is>
          <t>6859300</t>
        </is>
      </c>
      <c r="E463" t="inlineStr">
        <is>
          <t>RTR - EFORM SEPARATIONS TRAINING</t>
        </is>
      </c>
      <c r="F463" s="111" t="n">
        <v>45604</v>
      </c>
      <c r="G463" s="111" t="n">
        <v>45608</v>
      </c>
      <c r="H463" s="111" t="n">
        <v>45608</v>
      </c>
      <c r="I463" t="n">
        <v>2</v>
      </c>
      <c r="J463" t="n">
        <v>2</v>
      </c>
      <c r="K463" t="inlineStr">
        <is>
          <t>TR 6</t>
        </is>
      </c>
      <c r="L463" t="inlineStr">
        <is>
          <t>TR 5</t>
        </is>
      </c>
      <c r="M463" t="inlineStr">
        <is>
          <t>--</t>
        </is>
      </c>
      <c r="N463" t="inlineStr">
        <is>
          <t>--</t>
        </is>
      </c>
      <c r="O463" t="inlineStr">
        <is>
          <t>JJH</t>
        </is>
      </c>
      <c r="Q463" s="62">
        <f>IF(C463="Yes", 1, IF(C463="no", 0, IF(C463= "tardy", SUM(J463/I463),"")))</f>
        <v/>
      </c>
      <c r="R463">
        <f>LEFT(Train_Log[[#This Row],[COURSE NAME:]],FIND(" - ", Train_Log[[#This Row],[COURSE NAME:]]) -1)</f>
        <v/>
      </c>
      <c r="S463">
        <f>MID(Train_Log[[#This Row],[COURSE NAME:]],FIND(" - ", Train_Log[[#This Row],[COURSE NAME:]]), 13)</f>
        <v/>
      </c>
      <c r="T463">
        <f>MID(E463, FIND(" - ", E463) + 3, LEN(E463)) &amp; "_" &amp; TEXT(F463, "yyyymmdd") &amp; "_" &amp; TEXT(H463, "yyyymmdd")</f>
        <v/>
      </c>
    </row>
    <row r="464">
      <c r="B464" t="inlineStr">
        <is>
          <t>EE164</t>
        </is>
      </c>
      <c r="C464" t="inlineStr">
        <is>
          <t>No</t>
        </is>
      </c>
      <c r="D464" t="inlineStr">
        <is>
          <t>5104733</t>
        </is>
      </c>
      <c r="E464" t="inlineStr">
        <is>
          <t>LWOP - HCES SUPERUSER TRAINING</t>
        </is>
      </c>
      <c r="F464" s="111" t="n">
        <v>45582</v>
      </c>
      <c r="G464" s="111" t="n">
        <v>45582</v>
      </c>
      <c r="H464" s="111" t="n">
        <v>45582</v>
      </c>
      <c r="I464" t="n">
        <v>3</v>
      </c>
      <c r="J464" t="n">
        <v>3</v>
      </c>
      <c r="K464" t="inlineStr">
        <is>
          <t>TR 4</t>
        </is>
      </c>
      <c r="L464" t="inlineStr">
        <is>
          <t>TR 3</t>
        </is>
      </c>
      <c r="M464" t="inlineStr">
        <is>
          <t>--</t>
        </is>
      </c>
      <c r="N464" t="inlineStr">
        <is>
          <t>--</t>
        </is>
      </c>
      <c r="O464" t="inlineStr">
        <is>
          <t>JJH</t>
        </is>
      </c>
      <c r="Q464" s="62">
        <f>IF(C464="Yes", 1, IF(C464="no", 0, IF(C464= "tardy", SUM(J464/I464),"")))</f>
        <v/>
      </c>
      <c r="R464">
        <f>LEFT(Train_Log[[#This Row],[COURSE NAME:]],FIND(" - ", Train_Log[[#This Row],[COURSE NAME:]]) -1)</f>
        <v/>
      </c>
      <c r="S464">
        <f>MID(Train_Log[[#This Row],[COURSE NAME:]],FIND(" - ", Train_Log[[#This Row],[COURSE NAME:]]), 13)</f>
        <v/>
      </c>
      <c r="T464">
        <f>MID(E464, FIND(" - ", E464) + 3, LEN(E464)) &amp; "_" &amp; TEXT(F464, "yyyymmdd") &amp; "_" &amp; TEXT(H464, "yyyymmdd")</f>
        <v/>
      </c>
    </row>
    <row r="465">
      <c r="B465" t="inlineStr">
        <is>
          <t>EE133</t>
        </is>
      </c>
      <c r="C465" t="inlineStr">
        <is>
          <t>No</t>
        </is>
      </c>
      <c r="D465" t="inlineStr">
        <is>
          <t>4381301</t>
        </is>
      </c>
      <c r="E465" t="inlineStr">
        <is>
          <t>SUPPORT - TRAINING - PTSP TRAINING</t>
        </is>
      </c>
      <c r="F465" s="111" t="n">
        <v>45357</v>
      </c>
      <c r="G465" s="111" t="n">
        <v>45359</v>
      </c>
      <c r="H465" s="111" t="n">
        <v>45359</v>
      </c>
      <c r="I465" t="n">
        <v>3</v>
      </c>
      <c r="J465" t="n">
        <v>3</v>
      </c>
      <c r="K465" t="inlineStr">
        <is>
          <t>TR 3</t>
        </is>
      </c>
      <c r="L465" t="inlineStr">
        <is>
          <t>TR 1</t>
        </is>
      </c>
      <c r="M465" t="inlineStr">
        <is>
          <t>--</t>
        </is>
      </c>
      <c r="N465" t="inlineStr">
        <is>
          <t>--</t>
        </is>
      </c>
      <c r="O465" t="inlineStr">
        <is>
          <t>JJH</t>
        </is>
      </c>
      <c r="Q465" s="62">
        <f>IF(C465="Yes", 1, IF(C465="no", 0, IF(C465= "tardy", SUM(J465/I465),"")))</f>
        <v/>
      </c>
      <c r="R465">
        <f>LEFT(Train_Log[[#This Row],[COURSE NAME:]],FIND(" - ", Train_Log[[#This Row],[COURSE NAME:]]) -1)</f>
        <v/>
      </c>
      <c r="S465">
        <f>MID(Train_Log[[#This Row],[COURSE NAME:]],FIND(" - ", Train_Log[[#This Row],[COURSE NAME:]]), 13)</f>
        <v/>
      </c>
      <c r="T465">
        <f>MID(E465, FIND(" - ", E465) + 3, LEN(E465)) &amp; "_" &amp; TEXT(F465, "yyyymmdd") &amp; "_" &amp; TEXT(H465, "yyyymmdd")</f>
        <v/>
      </c>
    </row>
    <row r="466">
      <c r="B466" t="inlineStr">
        <is>
          <t>EE168</t>
        </is>
      </c>
      <c r="C466" t="inlineStr">
        <is>
          <t>No</t>
        </is>
      </c>
      <c r="D466" t="inlineStr">
        <is>
          <t>4446319</t>
        </is>
      </c>
      <c r="E466" t="inlineStr">
        <is>
          <t>OPTIONAL RETIREMENTS - MAILBUILD</t>
        </is>
      </c>
      <c r="F466" s="111" t="n">
        <v>45601</v>
      </c>
      <c r="G466" s="111" t="n">
        <v>45601</v>
      </c>
      <c r="H466" s="111" t="n">
        <v>45601</v>
      </c>
      <c r="I466" t="n">
        <v>4</v>
      </c>
      <c r="J466" t="n">
        <v>4</v>
      </c>
      <c r="K466" t="inlineStr">
        <is>
          <t>TR 7</t>
        </is>
      </c>
      <c r="L466" t="inlineStr">
        <is>
          <t>TR 1</t>
        </is>
      </c>
      <c r="M466" t="inlineStr">
        <is>
          <t>--</t>
        </is>
      </c>
      <c r="N466" t="inlineStr">
        <is>
          <t>--</t>
        </is>
      </c>
      <c r="O466" t="inlineStr">
        <is>
          <t>JJH</t>
        </is>
      </c>
      <c r="Q466" s="62">
        <f>IF(C466="Yes", 1, IF(C466="no", 0, IF(C466= "tardy", SUM(J466/I466),"")))</f>
        <v/>
      </c>
      <c r="R466">
        <f>LEFT(Train_Log[[#This Row],[COURSE NAME:]],FIND(" - ", Train_Log[[#This Row],[COURSE NAME:]]) -1)</f>
        <v/>
      </c>
      <c r="S466">
        <f>MID(Train_Log[[#This Row],[COURSE NAME:]],FIND(" - ", Train_Log[[#This Row],[COURSE NAME:]]), 13)</f>
        <v/>
      </c>
      <c r="T466">
        <f>MID(E466, FIND(" - ", E466) + 3, LEN(E466)) &amp; "_" &amp; TEXT(F466, "yyyymmdd") &amp; "_" &amp; TEXT(H466, "yyyymmdd")</f>
        <v/>
      </c>
    </row>
    <row r="467">
      <c r="B467" t="inlineStr">
        <is>
          <t>EE150</t>
        </is>
      </c>
      <c r="C467" t="inlineStr">
        <is>
          <t>No</t>
        </is>
      </c>
      <c r="D467" t="inlineStr">
        <is>
          <t>4048154</t>
        </is>
      </c>
      <c r="E467" t="inlineStr">
        <is>
          <t>SUPPORT - TRAINING - PTSP TRAINING</t>
        </is>
      </c>
      <c r="F467" s="111" t="n">
        <v>45650</v>
      </c>
      <c r="G467" s="111" t="n">
        <v>45654</v>
      </c>
      <c r="H467" s="111" t="n">
        <v>45654</v>
      </c>
      <c r="I467" t="n">
        <v>8</v>
      </c>
      <c r="J467" t="n">
        <v>8</v>
      </c>
      <c r="K467" t="inlineStr">
        <is>
          <t>TR 8</t>
        </is>
      </c>
      <c r="L467" t="inlineStr">
        <is>
          <t>--</t>
        </is>
      </c>
      <c r="M467" t="inlineStr">
        <is>
          <t>--</t>
        </is>
      </c>
      <c r="N467" t="inlineStr">
        <is>
          <t>--</t>
        </is>
      </c>
      <c r="O467" t="inlineStr">
        <is>
          <t>JJH</t>
        </is>
      </c>
      <c r="Q467" s="62">
        <f>IF(C467="Yes", 1, IF(C467="no", 0, IF(C467= "tardy", SUM(J467/I467),"")))</f>
        <v/>
      </c>
      <c r="R467">
        <f>LEFT(Train_Log[[#This Row],[COURSE NAME:]],FIND(" - ", Train_Log[[#This Row],[COURSE NAME:]]) -1)</f>
        <v/>
      </c>
      <c r="S467">
        <f>MID(Train_Log[[#This Row],[COURSE NAME:]],FIND(" - ", Train_Log[[#This Row],[COURSE NAME:]]), 13)</f>
        <v/>
      </c>
      <c r="T467">
        <f>MID(E467, FIND(" - ", E467) + 3, LEN(E467)) &amp; "_" &amp; TEXT(F467, "yyyymmdd") &amp; "_" &amp; TEXT(H467, "yyyymmdd")</f>
        <v/>
      </c>
    </row>
    <row r="468">
      <c r="B468" t="inlineStr">
        <is>
          <t>EE92</t>
        </is>
      </c>
      <c r="C468" t="inlineStr">
        <is>
          <t>No</t>
        </is>
      </c>
      <c r="D468" t="inlineStr">
        <is>
          <t>5938859</t>
        </is>
      </c>
      <c r="E468" t="inlineStr">
        <is>
          <t>RTR - EFORM SEPARATIONS TRAINING</t>
        </is>
      </c>
      <c r="F468" s="111" t="n">
        <v>45473</v>
      </c>
      <c r="G468" s="111" t="n">
        <v>45477</v>
      </c>
      <c r="H468" s="111" t="n">
        <v>45477</v>
      </c>
      <c r="I468" t="n">
        <v>2</v>
      </c>
      <c r="J468" t="n">
        <v>2</v>
      </c>
      <c r="K468" t="inlineStr">
        <is>
          <t>TR 5</t>
        </is>
      </c>
      <c r="L468" t="inlineStr">
        <is>
          <t>TR 2</t>
        </is>
      </c>
      <c r="M468" t="inlineStr">
        <is>
          <t>--</t>
        </is>
      </c>
      <c r="N468" t="inlineStr">
        <is>
          <t>--</t>
        </is>
      </c>
      <c r="O468" t="inlineStr">
        <is>
          <t>JJH</t>
        </is>
      </c>
      <c r="Q468" s="62">
        <f>IF(C468="Yes", 1, IF(C468="no", 0, IF(C468= "tardy", SUM(J468/I468),"")))</f>
        <v/>
      </c>
      <c r="R468">
        <f>LEFT(Train_Log[[#This Row],[COURSE NAME:]],FIND(" - ", Train_Log[[#This Row],[COURSE NAME:]]) -1)</f>
        <v/>
      </c>
      <c r="S468">
        <f>MID(Train_Log[[#This Row],[COURSE NAME:]],FIND(" - ", Train_Log[[#This Row],[COURSE NAME:]]), 13)</f>
        <v/>
      </c>
      <c r="T468">
        <f>MID(E468, FIND(" - ", E468) + 3, LEN(E468)) &amp; "_" &amp; TEXT(F468, "yyyymmdd") &amp; "_" &amp; TEXT(H468, "yyyymmdd")</f>
        <v/>
      </c>
    </row>
    <row r="469">
      <c r="B469" t="inlineStr">
        <is>
          <t>EE121</t>
        </is>
      </c>
      <c r="C469" t="inlineStr">
        <is>
          <t>No</t>
        </is>
      </c>
      <c r="D469" t="inlineStr">
        <is>
          <t>6354548</t>
        </is>
      </c>
      <c r="E469" t="inlineStr">
        <is>
          <t>PHONES - LWOP</t>
        </is>
      </c>
      <c r="F469" s="111" t="n">
        <v>45563</v>
      </c>
      <c r="G469" s="111" t="n">
        <v>45567</v>
      </c>
      <c r="H469" s="111" t="n">
        <v>45567</v>
      </c>
      <c r="I469" t="n">
        <v>2</v>
      </c>
      <c r="J469" t="n">
        <v>2</v>
      </c>
      <c r="K469" t="inlineStr">
        <is>
          <t>TR 6</t>
        </is>
      </c>
      <c r="L469" t="inlineStr">
        <is>
          <t>--</t>
        </is>
      </c>
      <c r="M469" t="inlineStr">
        <is>
          <t>--</t>
        </is>
      </c>
      <c r="N469" t="inlineStr">
        <is>
          <t>--</t>
        </is>
      </c>
      <c r="O469" t="inlineStr">
        <is>
          <t>JJH</t>
        </is>
      </c>
      <c r="Q469" s="62">
        <f>IF(C469="Yes", 1, IF(C469="no", 0, IF(C469= "tardy", SUM(J469/I469),"")))</f>
        <v/>
      </c>
      <c r="R469">
        <f>LEFT(Train_Log[[#This Row],[COURSE NAME:]],FIND(" - ", Train_Log[[#This Row],[COURSE NAME:]]) -1)</f>
        <v/>
      </c>
      <c r="S469">
        <f>MID(Train_Log[[#This Row],[COURSE NAME:]],FIND(" - ", Train_Log[[#This Row],[COURSE NAME:]]), 13)</f>
        <v/>
      </c>
      <c r="T469">
        <f>MID(E469, FIND(" - ", E469) + 3, LEN(E469)) &amp; "_" &amp; TEXT(F469, "yyyymmdd") &amp; "_" &amp; TEXT(H469, "yyyymmdd")</f>
        <v/>
      </c>
    </row>
    <row r="470">
      <c r="B470" t="inlineStr">
        <is>
          <t>EE23</t>
        </is>
      </c>
      <c r="C470" t="inlineStr">
        <is>
          <t>No</t>
        </is>
      </c>
      <c r="D470" t="inlineStr">
        <is>
          <t>4833985</t>
        </is>
      </c>
      <c r="E470" t="inlineStr">
        <is>
          <t>SUPPORT - TRAINING - PTSP TRAINING</t>
        </is>
      </c>
      <c r="F470" s="111" t="n">
        <v>45662</v>
      </c>
      <c r="G470" s="111" t="n">
        <v>45662</v>
      </c>
      <c r="H470" s="111" t="n">
        <v>45662</v>
      </c>
      <c r="I470" t="n">
        <v>3</v>
      </c>
      <c r="J470" t="n">
        <v>3</v>
      </c>
      <c r="K470" t="inlineStr">
        <is>
          <t>TR 7</t>
        </is>
      </c>
      <c r="L470" t="inlineStr">
        <is>
          <t>TR 6</t>
        </is>
      </c>
      <c r="M470" t="inlineStr">
        <is>
          <t>--</t>
        </is>
      </c>
      <c r="N470" t="inlineStr">
        <is>
          <t>--</t>
        </is>
      </c>
      <c r="O470" t="inlineStr">
        <is>
          <t>JJH</t>
        </is>
      </c>
      <c r="Q470" s="62">
        <f>IF(C470="Yes", 1, IF(C470="no", 0, IF(C470= "tardy", SUM(J470/I470),"")))</f>
        <v/>
      </c>
      <c r="R470">
        <f>LEFT(Train_Log[[#This Row],[COURSE NAME:]],FIND(" - ", Train_Log[[#This Row],[COURSE NAME:]]) -1)</f>
        <v/>
      </c>
      <c r="S470">
        <f>MID(Train_Log[[#This Row],[COURSE NAME:]],FIND(" - ", Train_Log[[#This Row],[COURSE NAME:]]), 13)</f>
        <v/>
      </c>
      <c r="T470">
        <f>MID(E470, FIND(" - ", E470) + 3, LEN(E470)) &amp; "_" &amp; TEXT(F470, "yyyymmdd") &amp; "_" &amp; TEXT(H470, "yyyymmdd")</f>
        <v/>
      </c>
    </row>
    <row r="471">
      <c r="B471" t="inlineStr">
        <is>
          <t>EE96</t>
        </is>
      </c>
      <c r="C471" t="inlineStr">
        <is>
          <t>No</t>
        </is>
      </c>
      <c r="D471" t="inlineStr">
        <is>
          <t>6886360</t>
        </is>
      </c>
      <c r="E471" t="inlineStr">
        <is>
          <t>RTR - EFORM SEPARATIONS TRAINING</t>
        </is>
      </c>
      <c r="F471" s="111" t="n">
        <v>45600</v>
      </c>
      <c r="G471" s="111" t="n">
        <v>45601</v>
      </c>
      <c r="H471" s="111" t="n">
        <v>45601</v>
      </c>
      <c r="I471" t="n">
        <v>4</v>
      </c>
      <c r="J471" t="n">
        <v>4</v>
      </c>
      <c r="K471" t="inlineStr">
        <is>
          <t>TR 1</t>
        </is>
      </c>
      <c r="L471" t="inlineStr">
        <is>
          <t>--</t>
        </is>
      </c>
      <c r="M471" t="inlineStr">
        <is>
          <t>--</t>
        </is>
      </c>
      <c r="N471" t="inlineStr">
        <is>
          <t>--</t>
        </is>
      </c>
      <c r="O471" t="inlineStr">
        <is>
          <t>JJH</t>
        </is>
      </c>
      <c r="Q471" s="62">
        <f>IF(C471="Yes", 1, IF(C471="no", 0, IF(C471= "tardy", SUM(J471/I471),"")))</f>
        <v/>
      </c>
      <c r="R471">
        <f>LEFT(Train_Log[[#This Row],[COURSE NAME:]],FIND(" - ", Train_Log[[#This Row],[COURSE NAME:]]) -1)</f>
        <v/>
      </c>
      <c r="S471">
        <f>MID(Train_Log[[#This Row],[COURSE NAME:]],FIND(" - ", Train_Log[[#This Row],[COURSE NAME:]]), 13)</f>
        <v/>
      </c>
      <c r="T471">
        <f>MID(E471, FIND(" - ", E471) + 3, LEN(E471)) &amp; "_" &amp; TEXT(F471, "yyyymmdd") &amp; "_" &amp; TEXT(H471, "yyyymmdd")</f>
        <v/>
      </c>
    </row>
    <row r="472">
      <c r="B472" t="inlineStr">
        <is>
          <t>EE150</t>
        </is>
      </c>
      <c r="C472" t="inlineStr">
        <is>
          <t>No</t>
        </is>
      </c>
      <c r="D472" t="inlineStr">
        <is>
          <t>4048154</t>
        </is>
      </c>
      <c r="E472" t="inlineStr">
        <is>
          <t>PHONES - EMPLOYMENT VERIFICATION</t>
        </is>
      </c>
      <c r="F472" s="111" t="n">
        <v>45782</v>
      </c>
      <c r="G472" s="111" t="n">
        <v>45782</v>
      </c>
      <c r="H472" s="111" t="n">
        <v>45782</v>
      </c>
      <c r="I472" t="n">
        <v>4</v>
      </c>
      <c r="J472" t="n">
        <v>4</v>
      </c>
      <c r="K472" t="inlineStr">
        <is>
          <t>TR 9</t>
        </is>
      </c>
      <c r="L472" t="inlineStr">
        <is>
          <t>TR 5</t>
        </is>
      </c>
      <c r="M472" t="inlineStr">
        <is>
          <t>--</t>
        </is>
      </c>
      <c r="N472" t="inlineStr">
        <is>
          <t>--</t>
        </is>
      </c>
      <c r="O472" t="inlineStr">
        <is>
          <t>JJH</t>
        </is>
      </c>
      <c r="Q472" s="62">
        <f>IF(C472="Yes", 1, IF(C472="no", 0, IF(C472= "tardy", SUM(J472/I472),"")))</f>
        <v/>
      </c>
      <c r="R472">
        <f>LEFT(Train_Log[[#This Row],[COURSE NAME:]],FIND(" - ", Train_Log[[#This Row],[COURSE NAME:]]) -1)</f>
        <v/>
      </c>
      <c r="S472">
        <f>MID(Train_Log[[#This Row],[COURSE NAME:]],FIND(" - ", Train_Log[[#This Row],[COURSE NAME:]]), 13)</f>
        <v/>
      </c>
      <c r="T472">
        <f>MID(E472, FIND(" - ", E472) + 3, LEN(E472)) &amp; "_" &amp; TEXT(F472, "yyyymmdd") &amp; "_" &amp; TEXT(H472, "yyyymmdd")</f>
        <v/>
      </c>
    </row>
    <row r="473">
      <c r="B473" t="inlineStr">
        <is>
          <t>EE106</t>
        </is>
      </c>
      <c r="C473" t="inlineStr">
        <is>
          <t>No</t>
        </is>
      </c>
      <c r="D473" t="inlineStr">
        <is>
          <t>5122986</t>
        </is>
      </c>
      <c r="E473" t="inlineStr">
        <is>
          <t>PHONES - BENEFITS</t>
        </is>
      </c>
      <c r="F473" s="111" t="n">
        <v>45453</v>
      </c>
      <c r="G473" s="111" t="n">
        <v>45453</v>
      </c>
      <c r="H473" s="111" t="n">
        <v>45453</v>
      </c>
      <c r="I473" t="n">
        <v>3</v>
      </c>
      <c r="J473" t="n">
        <v>3</v>
      </c>
      <c r="K473" t="inlineStr">
        <is>
          <t>TR 7</t>
        </is>
      </c>
      <c r="L473" t="inlineStr">
        <is>
          <t>TR 10</t>
        </is>
      </c>
      <c r="M473" t="inlineStr">
        <is>
          <t>--</t>
        </is>
      </c>
      <c r="N473" t="inlineStr">
        <is>
          <t>--</t>
        </is>
      </c>
      <c r="O473" t="inlineStr">
        <is>
          <t>JJH</t>
        </is>
      </c>
      <c r="Q473" s="62">
        <f>IF(C473="Yes", 1, IF(C473="no", 0, IF(C473= "tardy", SUM(J473/I473),"")))</f>
        <v/>
      </c>
      <c r="R473">
        <f>LEFT(Train_Log[[#This Row],[COURSE NAME:]],FIND(" - ", Train_Log[[#This Row],[COURSE NAME:]]) -1)</f>
        <v/>
      </c>
      <c r="S473">
        <f>MID(Train_Log[[#This Row],[COURSE NAME:]],FIND(" - ", Train_Log[[#This Row],[COURSE NAME:]]), 13)</f>
        <v/>
      </c>
      <c r="T473">
        <f>MID(E473, FIND(" - ", E473) + 3, LEN(E473)) &amp; "_" &amp; TEXT(F473, "yyyymmdd") &amp; "_" &amp; TEXT(H473, "yyyymmdd")</f>
        <v/>
      </c>
    </row>
    <row r="474">
      <c r="B474" t="inlineStr">
        <is>
          <t>EE118</t>
        </is>
      </c>
      <c r="C474" t="inlineStr">
        <is>
          <t>No</t>
        </is>
      </c>
      <c r="D474" t="inlineStr">
        <is>
          <t>5110987</t>
        </is>
      </c>
      <c r="E474" t="inlineStr">
        <is>
          <t>PHONES - LWOP</t>
        </is>
      </c>
      <c r="F474" s="111" t="n">
        <v>45622</v>
      </c>
      <c r="G474" s="111" t="n">
        <v>45626</v>
      </c>
      <c r="H474" s="111" t="n">
        <v>45626</v>
      </c>
      <c r="I474" t="n">
        <v>2</v>
      </c>
      <c r="J474" t="n">
        <v>2</v>
      </c>
      <c r="K474" t="inlineStr">
        <is>
          <t>TR 8</t>
        </is>
      </c>
      <c r="L474" t="inlineStr">
        <is>
          <t>TR 6</t>
        </is>
      </c>
      <c r="M474" t="inlineStr">
        <is>
          <t>--</t>
        </is>
      </c>
      <c r="N474" t="inlineStr">
        <is>
          <t>--</t>
        </is>
      </c>
      <c r="O474" t="inlineStr">
        <is>
          <t>JJH</t>
        </is>
      </c>
      <c r="Q474" s="62">
        <f>IF(C474="Yes", 1, IF(C474="no", 0, IF(C474= "tardy", SUM(J474/I474),"")))</f>
        <v/>
      </c>
      <c r="R474">
        <f>LEFT(Train_Log[[#This Row],[COURSE NAME:]],FIND(" - ", Train_Log[[#This Row],[COURSE NAME:]]) -1)</f>
        <v/>
      </c>
      <c r="S474">
        <f>MID(Train_Log[[#This Row],[COURSE NAME:]],FIND(" - ", Train_Log[[#This Row],[COURSE NAME:]]), 13)</f>
        <v/>
      </c>
      <c r="T474">
        <f>MID(E474, FIND(" - ", E474) + 3, LEN(E474)) &amp; "_" &amp; TEXT(F474, "yyyymmdd") &amp; "_" &amp; TEXT(H474, "yyyymmdd")</f>
        <v/>
      </c>
    </row>
    <row r="475">
      <c r="B475" t="inlineStr">
        <is>
          <t>EE162</t>
        </is>
      </c>
      <c r="C475" t="inlineStr">
        <is>
          <t>tardy</t>
        </is>
      </c>
      <c r="D475" t="inlineStr">
        <is>
          <t>5903055</t>
        </is>
      </c>
      <c r="E475" t="inlineStr">
        <is>
          <t>PHONES - LWOP</t>
        </is>
      </c>
      <c r="F475" s="111" t="n">
        <v>45619</v>
      </c>
      <c r="G475" s="111" t="n">
        <v>45623</v>
      </c>
      <c r="H475" s="111" t="n">
        <v>45623</v>
      </c>
      <c r="I475" t="n">
        <v>4</v>
      </c>
      <c r="J475" t="n">
        <v>2.44</v>
      </c>
      <c r="K475" t="inlineStr">
        <is>
          <t>TR 3</t>
        </is>
      </c>
      <c r="L475" t="inlineStr">
        <is>
          <t>TR 10</t>
        </is>
      </c>
      <c r="M475" t="inlineStr">
        <is>
          <t>--</t>
        </is>
      </c>
      <c r="N475" t="inlineStr">
        <is>
          <t>--</t>
        </is>
      </c>
      <c r="O475" t="inlineStr">
        <is>
          <t>JJH</t>
        </is>
      </c>
      <c r="Q475" s="62">
        <f>IF(C475="Yes", 1, IF(C475="no", 0, IF(C475= "tardy", SUM(J475/I475),"")))</f>
        <v/>
      </c>
      <c r="R475">
        <f>LEFT(Train_Log[[#This Row],[COURSE NAME:]],FIND(" - ", Train_Log[[#This Row],[COURSE NAME:]]) -1)</f>
        <v/>
      </c>
      <c r="S475">
        <f>MID(Train_Log[[#This Row],[COURSE NAME:]],FIND(" - ", Train_Log[[#This Row],[COURSE NAME:]]), 13)</f>
        <v/>
      </c>
      <c r="T475">
        <f>MID(E475, FIND(" - ", E475) + 3, LEN(E475)) &amp; "_" &amp; TEXT(F475, "yyyymmdd") &amp; "_" &amp; TEXT(H475, "yyyymmdd")</f>
        <v/>
      </c>
    </row>
    <row r="476">
      <c r="B476" t="inlineStr">
        <is>
          <t>EE41</t>
        </is>
      </c>
      <c r="C476" t="inlineStr">
        <is>
          <t>No</t>
        </is>
      </c>
      <c r="D476" t="inlineStr">
        <is>
          <t>4428700</t>
        </is>
      </c>
      <c r="E476" t="inlineStr">
        <is>
          <t>OPTIONAL RETIREMENTS - MAILBUILD</t>
        </is>
      </c>
      <c r="F476" s="111" t="n">
        <v>45389</v>
      </c>
      <c r="G476" s="111" t="n">
        <v>45389</v>
      </c>
      <c r="H476" s="111" t="n">
        <v>45389</v>
      </c>
      <c r="I476" t="n">
        <v>4</v>
      </c>
      <c r="J476" t="n">
        <v>4</v>
      </c>
      <c r="K476" t="inlineStr">
        <is>
          <t>TR 7</t>
        </is>
      </c>
      <c r="L476" t="inlineStr">
        <is>
          <t>TR 7</t>
        </is>
      </c>
      <c r="M476" t="inlineStr">
        <is>
          <t>--</t>
        </is>
      </c>
      <c r="N476" t="inlineStr">
        <is>
          <t>--</t>
        </is>
      </c>
      <c r="O476" t="inlineStr">
        <is>
          <t>JJH</t>
        </is>
      </c>
      <c r="Q476" s="62">
        <f>IF(C476="Yes", 1, IF(C476="no", 0, IF(C476= "tardy", SUM(J476/I476),"")))</f>
        <v/>
      </c>
      <c r="R476">
        <f>LEFT(Train_Log[[#This Row],[COURSE NAME:]],FIND(" - ", Train_Log[[#This Row],[COURSE NAME:]]) -1)</f>
        <v/>
      </c>
      <c r="S476">
        <f>MID(Train_Log[[#This Row],[COURSE NAME:]],FIND(" - ", Train_Log[[#This Row],[COURSE NAME:]]), 13)</f>
        <v/>
      </c>
      <c r="T476">
        <f>MID(E476, FIND(" - ", E476) + 3, LEN(E476)) &amp; "_" &amp; TEXT(F476, "yyyymmdd") &amp; "_" &amp; TEXT(H476, "yyyymmdd")</f>
        <v/>
      </c>
    </row>
    <row r="477">
      <c r="B477" t="inlineStr">
        <is>
          <t>EE123</t>
        </is>
      </c>
      <c r="C477" t="inlineStr">
        <is>
          <t>No</t>
        </is>
      </c>
      <c r="D477" t="inlineStr">
        <is>
          <t>5102018</t>
        </is>
      </c>
      <c r="E477" t="inlineStr">
        <is>
          <t>LWOP - HCES SU FACILITATION TRAINING</t>
        </is>
      </c>
      <c r="F477" s="111" t="n">
        <v>45303</v>
      </c>
      <c r="G477" s="111" t="n">
        <v>45303</v>
      </c>
      <c r="H477" s="111" t="n">
        <v>45303</v>
      </c>
      <c r="I477" t="n">
        <v>3</v>
      </c>
      <c r="J477" t="n">
        <v>3</v>
      </c>
      <c r="K477" t="inlineStr">
        <is>
          <t>TR 1</t>
        </is>
      </c>
      <c r="L477" t="inlineStr">
        <is>
          <t>TR 6</t>
        </is>
      </c>
      <c r="M477" t="inlineStr">
        <is>
          <t>--</t>
        </is>
      </c>
      <c r="N477" t="inlineStr">
        <is>
          <t>--</t>
        </is>
      </c>
      <c r="O477" t="inlineStr">
        <is>
          <t>JJH</t>
        </is>
      </c>
      <c r="Q477" s="62">
        <f>IF(C477="Yes", 1, IF(C477="no", 0, IF(C477= "tardy", SUM(J477/I477),"")))</f>
        <v/>
      </c>
      <c r="R477">
        <f>LEFT(Train_Log[[#This Row],[COURSE NAME:]],FIND(" - ", Train_Log[[#This Row],[COURSE NAME:]]) -1)</f>
        <v/>
      </c>
      <c r="S477">
        <f>MID(Train_Log[[#This Row],[COURSE NAME:]],FIND(" - ", Train_Log[[#This Row],[COURSE NAME:]]), 13)</f>
        <v/>
      </c>
      <c r="T477">
        <f>MID(E477, FIND(" - ", E477) + 3, LEN(E477)) &amp; "_" &amp; TEXT(F477, "yyyymmdd") &amp; "_" &amp; TEXT(H477, "yyyymmdd")</f>
        <v/>
      </c>
    </row>
    <row r="478">
      <c r="B478" t="inlineStr">
        <is>
          <t>EE136</t>
        </is>
      </c>
      <c r="C478" t="inlineStr">
        <is>
          <t>Yes</t>
        </is>
      </c>
      <c r="D478" t="inlineStr">
        <is>
          <t>4641062</t>
        </is>
      </c>
      <c r="E478" t="inlineStr">
        <is>
          <t>SUPPORT - TRAINING - PTSP TRAINING</t>
        </is>
      </c>
      <c r="F478" s="111" t="n">
        <v>45317</v>
      </c>
      <c r="G478" s="111" t="n">
        <v>45321</v>
      </c>
      <c r="H478" s="111" t="n">
        <v>45321</v>
      </c>
      <c r="I478" t="n">
        <v>2</v>
      </c>
      <c r="J478" t="n">
        <v>0</v>
      </c>
      <c r="K478" t="inlineStr">
        <is>
          <t>TR 4</t>
        </is>
      </c>
      <c r="L478" t="inlineStr">
        <is>
          <t>TR 6</t>
        </is>
      </c>
      <c r="M478" t="inlineStr">
        <is>
          <t>--</t>
        </is>
      </c>
      <c r="N478" t="inlineStr">
        <is>
          <t>--</t>
        </is>
      </c>
      <c r="O478" t="inlineStr">
        <is>
          <t>JJH</t>
        </is>
      </c>
      <c r="Q478" s="62">
        <f>IF(C478="Yes", 1, IF(C478="no", 0, IF(C478= "tardy", SUM(J478/I478),"")))</f>
        <v/>
      </c>
      <c r="R478">
        <f>LEFT(Train_Log[[#This Row],[COURSE NAME:]],FIND(" - ", Train_Log[[#This Row],[COURSE NAME:]]) -1)</f>
        <v/>
      </c>
      <c r="S478">
        <f>MID(Train_Log[[#This Row],[COURSE NAME:]],FIND(" - ", Train_Log[[#This Row],[COURSE NAME:]]), 13)</f>
        <v/>
      </c>
      <c r="T478">
        <f>MID(E478, FIND(" - ", E478) + 3, LEN(E478)) &amp; "_" &amp; TEXT(F478, "yyyymmdd") &amp; "_" &amp; TEXT(H478, "yyyymmdd")</f>
        <v/>
      </c>
    </row>
    <row r="479">
      <c r="B479" t="inlineStr">
        <is>
          <t>EE80</t>
        </is>
      </c>
      <c r="C479" t="inlineStr">
        <is>
          <t>No</t>
        </is>
      </c>
      <c r="D479" t="inlineStr">
        <is>
          <t>6810918</t>
        </is>
      </c>
      <c r="E479" t="inlineStr">
        <is>
          <t>PHONES - LWOP</t>
        </is>
      </c>
      <c r="F479" s="111" t="n">
        <v>45404</v>
      </c>
      <c r="G479" s="111" t="n">
        <v>45405</v>
      </c>
      <c r="H479" s="111" t="n">
        <v>45405</v>
      </c>
      <c r="I479" t="n">
        <v>3</v>
      </c>
      <c r="J479" t="n">
        <v>3</v>
      </c>
      <c r="K479" t="inlineStr">
        <is>
          <t>TR 3</t>
        </is>
      </c>
      <c r="L479" t="inlineStr">
        <is>
          <t>TR 2</t>
        </is>
      </c>
      <c r="M479" t="inlineStr">
        <is>
          <t>--</t>
        </is>
      </c>
      <c r="N479" t="inlineStr">
        <is>
          <t>--</t>
        </is>
      </c>
      <c r="O479" t="inlineStr">
        <is>
          <t>JJH</t>
        </is>
      </c>
      <c r="Q479" s="62">
        <f>IF(C479="Yes", 1, IF(C479="no", 0, IF(C479= "tardy", SUM(J479/I479),"")))</f>
        <v/>
      </c>
      <c r="R479">
        <f>LEFT(Train_Log[[#This Row],[COURSE NAME:]],FIND(" - ", Train_Log[[#This Row],[COURSE NAME:]]) -1)</f>
        <v/>
      </c>
      <c r="S479">
        <f>MID(Train_Log[[#This Row],[COURSE NAME:]],FIND(" - ", Train_Log[[#This Row],[COURSE NAME:]]), 13)</f>
        <v/>
      </c>
      <c r="T479">
        <f>MID(E479, FIND(" - ", E479) + 3, LEN(E479)) &amp; "_" &amp; TEXT(F479, "yyyymmdd") &amp; "_" &amp; TEXT(H479, "yyyymmdd")</f>
        <v/>
      </c>
    </row>
    <row r="480">
      <c r="B480" t="inlineStr">
        <is>
          <t>EE12</t>
        </is>
      </c>
      <c r="C480" t="inlineStr">
        <is>
          <t>No</t>
        </is>
      </c>
      <c r="D480" t="inlineStr">
        <is>
          <t>6476705</t>
        </is>
      </c>
      <c r="E480" t="inlineStr">
        <is>
          <t>RTR - EFORM SEPARATIONS TRAINING</t>
        </is>
      </c>
      <c r="F480" s="111" t="n">
        <v>45596</v>
      </c>
      <c r="G480" s="111" t="n">
        <v>45597</v>
      </c>
      <c r="H480" s="111" t="n">
        <v>45597</v>
      </c>
      <c r="I480" t="n">
        <v>8</v>
      </c>
      <c r="J480" t="n">
        <v>8</v>
      </c>
      <c r="K480" t="inlineStr">
        <is>
          <t>TR 9</t>
        </is>
      </c>
      <c r="L480" t="inlineStr">
        <is>
          <t>TR 6</t>
        </is>
      </c>
      <c r="M480" t="inlineStr">
        <is>
          <t>--</t>
        </is>
      </c>
      <c r="N480" t="inlineStr">
        <is>
          <t>--</t>
        </is>
      </c>
      <c r="O480" t="inlineStr">
        <is>
          <t>JJH</t>
        </is>
      </c>
      <c r="Q480" s="62">
        <f>IF(C480="Yes", 1, IF(C480="no", 0, IF(C480= "tardy", SUM(J480/I480),"")))</f>
        <v/>
      </c>
      <c r="R480">
        <f>LEFT(Train_Log[[#This Row],[COURSE NAME:]],FIND(" - ", Train_Log[[#This Row],[COURSE NAME:]]) -1)</f>
        <v/>
      </c>
      <c r="S480">
        <f>MID(Train_Log[[#This Row],[COURSE NAME:]],FIND(" - ", Train_Log[[#This Row],[COURSE NAME:]]), 13)</f>
        <v/>
      </c>
      <c r="T480">
        <f>MID(E480, FIND(" - ", E480) + 3, LEN(E480)) &amp; "_" &amp; TEXT(F480, "yyyymmdd") &amp; "_" &amp; TEXT(H480, "yyyymmdd")</f>
        <v/>
      </c>
    </row>
    <row r="481">
      <c r="B481" t="inlineStr">
        <is>
          <t>EE112</t>
        </is>
      </c>
      <c r="C481" t="inlineStr">
        <is>
          <t>No</t>
        </is>
      </c>
      <c r="D481" t="inlineStr">
        <is>
          <t>6749109</t>
        </is>
      </c>
      <c r="E481" t="inlineStr">
        <is>
          <t>PHONES - LWOP</t>
        </is>
      </c>
      <c r="F481" s="111" t="n">
        <v>45649</v>
      </c>
      <c r="G481" s="111" t="n">
        <v>45650</v>
      </c>
      <c r="H481" s="111" t="n">
        <v>45650</v>
      </c>
      <c r="I481" t="n">
        <v>2</v>
      </c>
      <c r="J481" t="n">
        <v>2</v>
      </c>
      <c r="K481" t="inlineStr">
        <is>
          <t>TR 3</t>
        </is>
      </c>
      <c r="L481" t="inlineStr">
        <is>
          <t>TR 7</t>
        </is>
      </c>
      <c r="M481" t="inlineStr">
        <is>
          <t>--</t>
        </is>
      </c>
      <c r="N481" t="inlineStr">
        <is>
          <t>--</t>
        </is>
      </c>
      <c r="O481" t="inlineStr">
        <is>
          <t>JJH</t>
        </is>
      </c>
      <c r="Q481" s="62">
        <f>IF(C481="Yes", 1, IF(C481="no", 0, IF(C481= "tardy", SUM(J481/I481),"")))</f>
        <v/>
      </c>
      <c r="R481">
        <f>LEFT(Train_Log[[#This Row],[COURSE NAME:]],FIND(" - ", Train_Log[[#This Row],[COURSE NAME:]]) -1)</f>
        <v/>
      </c>
      <c r="S481">
        <f>MID(Train_Log[[#This Row],[COURSE NAME:]],FIND(" - ", Train_Log[[#This Row],[COURSE NAME:]]), 13)</f>
        <v/>
      </c>
      <c r="T481">
        <f>MID(E481, FIND(" - ", E481) + 3, LEN(E481)) &amp; "_" &amp; TEXT(F481, "yyyymmdd") &amp; "_" &amp; TEXT(H481, "yyyymmdd")</f>
        <v/>
      </c>
    </row>
    <row r="482">
      <c r="B482" t="inlineStr">
        <is>
          <t>EE5</t>
        </is>
      </c>
      <c r="C482" t="inlineStr">
        <is>
          <t>No</t>
        </is>
      </c>
      <c r="D482" t="inlineStr">
        <is>
          <t>5027150</t>
        </is>
      </c>
      <c r="E482" t="inlineStr">
        <is>
          <t>SUPPORT - TRAINING - PTSP TRAINING</t>
        </is>
      </c>
      <c r="F482" s="111" t="n">
        <v>45528</v>
      </c>
      <c r="G482" s="111" t="n">
        <v>45532</v>
      </c>
      <c r="H482" s="111" t="n">
        <v>45532</v>
      </c>
      <c r="I482" t="n">
        <v>2</v>
      </c>
      <c r="J482" t="n">
        <v>2</v>
      </c>
      <c r="K482" t="inlineStr">
        <is>
          <t>TR 1</t>
        </is>
      </c>
      <c r="L482" t="inlineStr">
        <is>
          <t>TR 10</t>
        </is>
      </c>
      <c r="M482" t="inlineStr">
        <is>
          <t>--</t>
        </is>
      </c>
      <c r="N482" t="inlineStr">
        <is>
          <t>--</t>
        </is>
      </c>
      <c r="O482" t="inlineStr">
        <is>
          <t>JJH</t>
        </is>
      </c>
      <c r="Q482" s="62">
        <f>IF(C482="Yes", 1, IF(C482="no", 0, IF(C482= "tardy", SUM(J482/I482),"")))</f>
        <v/>
      </c>
      <c r="R482">
        <f>LEFT(Train_Log[[#This Row],[COURSE NAME:]],FIND(" - ", Train_Log[[#This Row],[COURSE NAME:]]) -1)</f>
        <v/>
      </c>
      <c r="S482">
        <f>MID(Train_Log[[#This Row],[COURSE NAME:]],FIND(" - ", Train_Log[[#This Row],[COURSE NAME:]]), 13)</f>
        <v/>
      </c>
      <c r="T482">
        <f>MID(E482, FIND(" - ", E482) + 3, LEN(E482)) &amp; "_" &amp; TEXT(F482, "yyyymmdd") &amp; "_" &amp; TEXT(H482, "yyyymmdd")</f>
        <v/>
      </c>
    </row>
    <row r="483">
      <c r="B483" t="inlineStr">
        <is>
          <t>EE130</t>
        </is>
      </c>
      <c r="C483" t="inlineStr">
        <is>
          <t>No</t>
        </is>
      </c>
      <c r="D483" t="inlineStr">
        <is>
          <t>4580205</t>
        </is>
      </c>
      <c r="E483" t="inlineStr">
        <is>
          <t>PHONES - LWOP</t>
        </is>
      </c>
      <c r="F483" s="111" t="n">
        <v>45425</v>
      </c>
      <c r="G483" s="111" t="n">
        <v>45425</v>
      </c>
      <c r="H483" s="111" t="n">
        <v>45425</v>
      </c>
      <c r="I483" t="n">
        <v>2</v>
      </c>
      <c r="J483" t="n">
        <v>2</v>
      </c>
      <c r="K483" t="inlineStr">
        <is>
          <t>TR 7</t>
        </is>
      </c>
      <c r="L483" t="inlineStr">
        <is>
          <t>--</t>
        </is>
      </c>
      <c r="M483" t="inlineStr">
        <is>
          <t>--</t>
        </is>
      </c>
      <c r="N483" t="inlineStr">
        <is>
          <t>--</t>
        </is>
      </c>
      <c r="O483" t="inlineStr">
        <is>
          <t>JJH</t>
        </is>
      </c>
      <c r="Q483" s="62">
        <f>IF(C483="Yes", 1, IF(C483="no", 0, IF(C483= "tardy", SUM(J483/I483),"")))</f>
        <v/>
      </c>
      <c r="R483">
        <f>LEFT(Train_Log[[#This Row],[COURSE NAME:]],FIND(" - ", Train_Log[[#This Row],[COURSE NAME:]]) -1)</f>
        <v/>
      </c>
      <c r="S483">
        <f>MID(Train_Log[[#This Row],[COURSE NAME:]],FIND(" - ", Train_Log[[#This Row],[COURSE NAME:]]), 13)</f>
        <v/>
      </c>
      <c r="T483">
        <f>MID(E483, FIND(" - ", E483) + 3, LEN(E483)) &amp; "_" &amp; TEXT(F483, "yyyymmdd") &amp; "_" &amp; TEXT(H483, "yyyymmdd")</f>
        <v/>
      </c>
    </row>
    <row r="484">
      <c r="B484" t="inlineStr">
        <is>
          <t>EE66</t>
        </is>
      </c>
      <c r="C484" t="inlineStr">
        <is>
          <t>No</t>
        </is>
      </c>
      <c r="D484" t="inlineStr">
        <is>
          <t>4955874</t>
        </is>
      </c>
      <c r="E484" t="inlineStr">
        <is>
          <t>PHONES - BENEFITS</t>
        </is>
      </c>
      <c r="F484" s="111" t="n">
        <v>45348</v>
      </c>
      <c r="G484" s="111" t="n">
        <v>45352</v>
      </c>
      <c r="H484" s="111" t="n">
        <v>45352</v>
      </c>
      <c r="I484" t="n">
        <v>2</v>
      </c>
      <c r="J484" t="n">
        <v>2</v>
      </c>
      <c r="K484" t="inlineStr">
        <is>
          <t>TR 1</t>
        </is>
      </c>
      <c r="L484" t="inlineStr">
        <is>
          <t>TR 2</t>
        </is>
      </c>
      <c r="M484" t="inlineStr">
        <is>
          <t>--</t>
        </is>
      </c>
      <c r="N484" t="inlineStr">
        <is>
          <t>--</t>
        </is>
      </c>
      <c r="O484" t="inlineStr">
        <is>
          <t>JJH</t>
        </is>
      </c>
      <c r="Q484" s="62">
        <f>IF(C484="Yes", 1, IF(C484="no", 0, IF(C484= "tardy", SUM(J484/I484),"")))</f>
        <v/>
      </c>
      <c r="R484">
        <f>LEFT(Train_Log[[#This Row],[COURSE NAME:]],FIND(" - ", Train_Log[[#This Row],[COURSE NAME:]]) -1)</f>
        <v/>
      </c>
      <c r="S484">
        <f>MID(Train_Log[[#This Row],[COURSE NAME:]],FIND(" - ", Train_Log[[#This Row],[COURSE NAME:]]), 13)</f>
        <v/>
      </c>
      <c r="T484">
        <f>MID(E484, FIND(" - ", E484) + 3, LEN(E484)) &amp; "_" &amp; TEXT(F484, "yyyymmdd") &amp; "_" &amp; TEXT(H484, "yyyymmdd")</f>
        <v/>
      </c>
    </row>
    <row r="485">
      <c r="B485" t="inlineStr">
        <is>
          <t>EE107</t>
        </is>
      </c>
      <c r="C485" t="inlineStr">
        <is>
          <t>No</t>
        </is>
      </c>
      <c r="D485" t="inlineStr">
        <is>
          <t>4277615</t>
        </is>
      </c>
      <c r="E485" t="inlineStr">
        <is>
          <t>OPTIONAL RETIREMENTS - MAILBUILD</t>
        </is>
      </c>
      <c r="F485" s="111" t="n">
        <v>45688</v>
      </c>
      <c r="G485" s="111" t="n">
        <v>45688</v>
      </c>
      <c r="H485" s="111" t="n">
        <v>45688</v>
      </c>
      <c r="I485" t="n">
        <v>4</v>
      </c>
      <c r="J485" t="n">
        <v>4</v>
      </c>
      <c r="K485" t="inlineStr">
        <is>
          <t>TR 3</t>
        </is>
      </c>
      <c r="L485" t="inlineStr">
        <is>
          <t>TR 4</t>
        </is>
      </c>
      <c r="M485" t="inlineStr">
        <is>
          <t>--</t>
        </is>
      </c>
      <c r="N485" t="inlineStr">
        <is>
          <t>--</t>
        </is>
      </c>
      <c r="O485" t="inlineStr">
        <is>
          <t>JJH</t>
        </is>
      </c>
      <c r="Q485" s="62">
        <f>IF(C485="Yes", 1, IF(C485="no", 0, IF(C485= "tardy", SUM(J485/I485),"")))</f>
        <v/>
      </c>
      <c r="R485">
        <f>LEFT(Train_Log[[#This Row],[COURSE NAME:]],FIND(" - ", Train_Log[[#This Row],[COURSE NAME:]]) -1)</f>
        <v/>
      </c>
      <c r="S485">
        <f>MID(Train_Log[[#This Row],[COURSE NAME:]],FIND(" - ", Train_Log[[#This Row],[COURSE NAME:]]), 13)</f>
        <v/>
      </c>
      <c r="T485">
        <f>MID(E485, FIND(" - ", E485) + 3, LEN(E485)) &amp; "_" &amp; TEXT(F485, "yyyymmdd") &amp; "_" &amp; TEXT(H485, "yyyymmdd")</f>
        <v/>
      </c>
    </row>
    <row r="486">
      <c r="B486" t="inlineStr">
        <is>
          <t>EE178</t>
        </is>
      </c>
      <c r="C486" t="inlineStr">
        <is>
          <t>No</t>
        </is>
      </c>
      <c r="D486" t="inlineStr">
        <is>
          <t>6262319</t>
        </is>
      </c>
      <c r="E486" t="inlineStr">
        <is>
          <t>PHONES - BENEFITS</t>
        </is>
      </c>
      <c r="F486" s="111" t="n">
        <v>45607</v>
      </c>
      <c r="G486" s="111" t="n">
        <v>45608</v>
      </c>
      <c r="H486" s="111" t="n">
        <v>45608</v>
      </c>
      <c r="I486" t="n">
        <v>8</v>
      </c>
      <c r="J486" t="n">
        <v>8</v>
      </c>
      <c r="K486" t="inlineStr">
        <is>
          <t>TR 5</t>
        </is>
      </c>
      <c r="L486" t="inlineStr">
        <is>
          <t>TR 10</t>
        </is>
      </c>
      <c r="M486" t="inlineStr">
        <is>
          <t>--</t>
        </is>
      </c>
      <c r="N486" t="inlineStr">
        <is>
          <t>--</t>
        </is>
      </c>
      <c r="O486" t="inlineStr">
        <is>
          <t>JJH</t>
        </is>
      </c>
      <c r="Q486" s="62">
        <f>IF(C486="Yes", 1, IF(C486="no", 0, IF(C486= "tardy", SUM(J486/I486),"")))</f>
        <v/>
      </c>
      <c r="R486">
        <f>LEFT(Train_Log[[#This Row],[COURSE NAME:]],FIND(" - ", Train_Log[[#This Row],[COURSE NAME:]]) -1)</f>
        <v/>
      </c>
      <c r="S486">
        <f>MID(Train_Log[[#This Row],[COURSE NAME:]],FIND(" - ", Train_Log[[#This Row],[COURSE NAME:]]), 13)</f>
        <v/>
      </c>
      <c r="T486">
        <f>MID(E486, FIND(" - ", E486) + 3, LEN(E486)) &amp; "_" &amp; TEXT(F486, "yyyymmdd") &amp; "_" &amp; TEXT(H486, "yyyymmdd")</f>
        <v/>
      </c>
    </row>
    <row r="487">
      <c r="B487" t="inlineStr">
        <is>
          <t>EE156</t>
        </is>
      </c>
      <c r="C487" t="inlineStr">
        <is>
          <t>No</t>
        </is>
      </c>
      <c r="D487" t="inlineStr">
        <is>
          <t>6688388</t>
        </is>
      </c>
      <c r="E487" t="inlineStr">
        <is>
          <t>PHONES - LWOP</t>
        </is>
      </c>
      <c r="F487" s="111" t="n">
        <v>45727</v>
      </c>
      <c r="G487" s="111" t="n">
        <v>45727</v>
      </c>
      <c r="H487" s="111" t="n">
        <v>45727</v>
      </c>
      <c r="I487" t="n">
        <v>8</v>
      </c>
      <c r="J487" t="n">
        <v>8</v>
      </c>
      <c r="K487" t="inlineStr">
        <is>
          <t>TR 2</t>
        </is>
      </c>
      <c r="L487" t="inlineStr">
        <is>
          <t>TR 5</t>
        </is>
      </c>
      <c r="M487" t="inlineStr">
        <is>
          <t>--</t>
        </is>
      </c>
      <c r="N487" t="inlineStr">
        <is>
          <t>--</t>
        </is>
      </c>
      <c r="O487" t="inlineStr">
        <is>
          <t>JJH</t>
        </is>
      </c>
      <c r="Q487" s="62">
        <f>IF(C487="Yes", 1, IF(C487="no", 0, IF(C487= "tardy", SUM(J487/I487),"")))</f>
        <v/>
      </c>
      <c r="R487">
        <f>LEFT(Train_Log[[#This Row],[COURSE NAME:]],FIND(" - ", Train_Log[[#This Row],[COURSE NAME:]]) -1)</f>
        <v/>
      </c>
      <c r="S487">
        <f>MID(Train_Log[[#This Row],[COURSE NAME:]],FIND(" - ", Train_Log[[#This Row],[COURSE NAME:]]), 13)</f>
        <v/>
      </c>
      <c r="T487">
        <f>MID(E487, FIND(" - ", E487) + 3, LEN(E487)) &amp; "_" &amp; TEXT(F487, "yyyymmdd") &amp; "_" &amp; TEXT(H487, "yyyymmdd")</f>
        <v/>
      </c>
    </row>
    <row r="488">
      <c r="B488" t="inlineStr">
        <is>
          <t>EE30</t>
        </is>
      </c>
      <c r="C488" t="inlineStr">
        <is>
          <t>No</t>
        </is>
      </c>
      <c r="D488" t="inlineStr">
        <is>
          <t>6471559</t>
        </is>
      </c>
      <c r="E488" t="inlineStr">
        <is>
          <t>PHONES - EMPLOYMENT VERIFICATION</t>
        </is>
      </c>
      <c r="F488" s="111" t="n">
        <v>45808</v>
      </c>
      <c r="G488" s="111" t="n">
        <v>45808</v>
      </c>
      <c r="H488" s="111" t="n">
        <v>45808</v>
      </c>
      <c r="I488" t="n">
        <v>3</v>
      </c>
      <c r="J488" t="n">
        <v>3</v>
      </c>
      <c r="K488" t="inlineStr">
        <is>
          <t>TR 9</t>
        </is>
      </c>
      <c r="L488" t="inlineStr">
        <is>
          <t>TR 4</t>
        </is>
      </c>
      <c r="M488" t="inlineStr">
        <is>
          <t>--</t>
        </is>
      </c>
      <c r="N488" t="inlineStr">
        <is>
          <t>--</t>
        </is>
      </c>
      <c r="O488" t="inlineStr">
        <is>
          <t>JJH</t>
        </is>
      </c>
      <c r="Q488" s="62">
        <f>IF(C488="Yes", 1, IF(C488="no", 0, IF(C488= "tardy", SUM(J488/I488),"")))</f>
        <v/>
      </c>
      <c r="R488">
        <f>LEFT(Train_Log[[#This Row],[COURSE NAME:]],FIND(" - ", Train_Log[[#This Row],[COURSE NAME:]]) -1)</f>
        <v/>
      </c>
      <c r="S488">
        <f>MID(Train_Log[[#This Row],[COURSE NAME:]],FIND(" - ", Train_Log[[#This Row],[COURSE NAME:]]), 13)</f>
        <v/>
      </c>
      <c r="T488">
        <f>MID(E488, FIND(" - ", E488) + 3, LEN(E488)) &amp; "_" &amp; TEXT(F488, "yyyymmdd") &amp; "_" &amp; TEXT(H488, "yyyymmdd")</f>
        <v/>
      </c>
    </row>
    <row r="489">
      <c r="B489" t="inlineStr">
        <is>
          <t>EE92</t>
        </is>
      </c>
      <c r="C489" t="inlineStr">
        <is>
          <t>tardy</t>
        </is>
      </c>
      <c r="D489" t="inlineStr">
        <is>
          <t>5938859</t>
        </is>
      </c>
      <c r="E489" t="inlineStr">
        <is>
          <t>LWOP - HCES SU FACILITATION TRAINING</t>
        </is>
      </c>
      <c r="F489" s="111" t="n">
        <v>45601</v>
      </c>
      <c r="G489" s="111" t="n">
        <v>45601</v>
      </c>
      <c r="H489" s="111" t="n">
        <v>45601</v>
      </c>
      <c r="I489" t="n">
        <v>4</v>
      </c>
      <c r="J489" t="n">
        <v>3.46</v>
      </c>
      <c r="K489" t="inlineStr">
        <is>
          <t>TR 8</t>
        </is>
      </c>
      <c r="L489" t="inlineStr">
        <is>
          <t>TR 6</t>
        </is>
      </c>
      <c r="M489" t="inlineStr">
        <is>
          <t>--</t>
        </is>
      </c>
      <c r="N489" t="inlineStr">
        <is>
          <t>--</t>
        </is>
      </c>
      <c r="O489" t="inlineStr">
        <is>
          <t>JJH</t>
        </is>
      </c>
      <c r="Q489" s="62">
        <f>IF(C489="Yes", 1, IF(C489="no", 0, IF(C489= "tardy", SUM(J489/I489),"")))</f>
        <v/>
      </c>
      <c r="R489">
        <f>LEFT(Train_Log[[#This Row],[COURSE NAME:]],FIND(" - ", Train_Log[[#This Row],[COURSE NAME:]]) -1)</f>
        <v/>
      </c>
      <c r="S489">
        <f>MID(Train_Log[[#This Row],[COURSE NAME:]],FIND(" - ", Train_Log[[#This Row],[COURSE NAME:]]), 13)</f>
        <v/>
      </c>
      <c r="T489">
        <f>MID(E489, FIND(" - ", E489) + 3, LEN(E489)) &amp; "_" &amp; TEXT(F489, "yyyymmdd") &amp; "_" &amp; TEXT(H489, "yyyymmdd")</f>
        <v/>
      </c>
    </row>
    <row r="490">
      <c r="B490" t="inlineStr">
        <is>
          <t>EE61</t>
        </is>
      </c>
      <c r="C490" t="inlineStr">
        <is>
          <t>No</t>
        </is>
      </c>
      <c r="D490" t="inlineStr">
        <is>
          <t>4806516</t>
        </is>
      </c>
      <c r="E490" t="inlineStr">
        <is>
          <t>PHONES - BENEFITS</t>
        </is>
      </c>
      <c r="F490" s="111" t="n">
        <v>45312</v>
      </c>
      <c r="G490" s="111" t="n">
        <v>45316</v>
      </c>
      <c r="H490" s="111" t="n">
        <v>45316</v>
      </c>
      <c r="I490" t="n">
        <v>2</v>
      </c>
      <c r="J490" t="n">
        <v>2</v>
      </c>
      <c r="K490" t="inlineStr">
        <is>
          <t>TR 10</t>
        </is>
      </c>
      <c r="L490" t="inlineStr">
        <is>
          <t>--</t>
        </is>
      </c>
      <c r="M490" t="inlineStr">
        <is>
          <t>--</t>
        </is>
      </c>
      <c r="N490" t="inlineStr">
        <is>
          <t>--</t>
        </is>
      </c>
      <c r="O490" t="inlineStr">
        <is>
          <t>JJH</t>
        </is>
      </c>
      <c r="Q490" s="62">
        <f>IF(C490="Yes", 1, IF(C490="no", 0, IF(C490= "tardy", SUM(J490/I490),"")))</f>
        <v/>
      </c>
      <c r="R490">
        <f>LEFT(Train_Log[[#This Row],[COURSE NAME:]],FIND(" - ", Train_Log[[#This Row],[COURSE NAME:]]) -1)</f>
        <v/>
      </c>
      <c r="S490">
        <f>MID(Train_Log[[#This Row],[COURSE NAME:]],FIND(" - ", Train_Log[[#This Row],[COURSE NAME:]]), 13)</f>
        <v/>
      </c>
      <c r="T490">
        <f>MID(E490, FIND(" - ", E490) + 3, LEN(E490)) &amp; "_" &amp; TEXT(F490, "yyyymmdd") &amp; "_" &amp; TEXT(H490, "yyyymmdd")</f>
        <v/>
      </c>
    </row>
    <row r="491">
      <c r="B491" t="inlineStr">
        <is>
          <t>EE127</t>
        </is>
      </c>
      <c r="C491" t="inlineStr">
        <is>
          <t>No</t>
        </is>
      </c>
      <c r="D491" t="inlineStr">
        <is>
          <t>5675207</t>
        </is>
      </c>
      <c r="E491" t="inlineStr">
        <is>
          <t>PHONES - LWOP</t>
        </is>
      </c>
      <c r="F491" s="111" t="n">
        <v>45391</v>
      </c>
      <c r="G491" s="111" t="n">
        <v>45393</v>
      </c>
      <c r="H491" s="111" t="n">
        <v>45393</v>
      </c>
      <c r="I491" t="n">
        <v>2</v>
      </c>
      <c r="J491" t="n">
        <v>2</v>
      </c>
      <c r="K491" t="inlineStr">
        <is>
          <t>TR 5</t>
        </is>
      </c>
      <c r="L491" t="inlineStr">
        <is>
          <t>--</t>
        </is>
      </c>
      <c r="M491" t="inlineStr">
        <is>
          <t>--</t>
        </is>
      </c>
      <c r="N491" t="inlineStr">
        <is>
          <t>--</t>
        </is>
      </c>
      <c r="O491" t="inlineStr">
        <is>
          <t>JJH</t>
        </is>
      </c>
      <c r="Q491" s="62">
        <f>IF(C491="Yes", 1, IF(C491="no", 0, IF(C491= "tardy", SUM(J491/I491),"")))</f>
        <v/>
      </c>
      <c r="R491">
        <f>LEFT(Train_Log[[#This Row],[COURSE NAME:]],FIND(" - ", Train_Log[[#This Row],[COURSE NAME:]]) -1)</f>
        <v/>
      </c>
      <c r="S491">
        <f>MID(Train_Log[[#This Row],[COURSE NAME:]],FIND(" - ", Train_Log[[#This Row],[COURSE NAME:]]), 13)</f>
        <v/>
      </c>
      <c r="T491">
        <f>MID(E491, FIND(" - ", E491) + 3, LEN(E491)) &amp; "_" &amp; TEXT(F491, "yyyymmdd") &amp; "_" &amp; TEXT(H491, "yyyymmdd")</f>
        <v/>
      </c>
    </row>
    <row r="492">
      <c r="B492" t="inlineStr">
        <is>
          <t>EE60</t>
        </is>
      </c>
      <c r="C492" t="inlineStr">
        <is>
          <t>No</t>
        </is>
      </c>
      <c r="D492" t="inlineStr">
        <is>
          <t>6421590</t>
        </is>
      </c>
      <c r="E492" t="inlineStr">
        <is>
          <t>OPTIONAL RETIREMENTS - MAILBUILD</t>
        </is>
      </c>
      <c r="F492" s="111" t="n">
        <v>45602</v>
      </c>
      <c r="G492" s="111" t="n">
        <v>45602</v>
      </c>
      <c r="H492" s="111" t="n">
        <v>45602</v>
      </c>
      <c r="I492" t="n">
        <v>2</v>
      </c>
      <c r="J492" t="n">
        <v>2</v>
      </c>
      <c r="K492" t="inlineStr">
        <is>
          <t>TR 3</t>
        </is>
      </c>
      <c r="L492" t="inlineStr">
        <is>
          <t>TR 1</t>
        </is>
      </c>
      <c r="M492" t="inlineStr">
        <is>
          <t>--</t>
        </is>
      </c>
      <c r="N492" t="inlineStr">
        <is>
          <t>--</t>
        </is>
      </c>
      <c r="O492" t="inlineStr">
        <is>
          <t>JJH</t>
        </is>
      </c>
      <c r="Q492" s="62">
        <f>IF(C492="Yes", 1, IF(C492="no", 0, IF(C492= "tardy", SUM(J492/I492),"")))</f>
        <v/>
      </c>
      <c r="R492">
        <f>LEFT(Train_Log[[#This Row],[COURSE NAME:]],FIND(" - ", Train_Log[[#This Row],[COURSE NAME:]]) -1)</f>
        <v/>
      </c>
      <c r="S492">
        <f>MID(Train_Log[[#This Row],[COURSE NAME:]],FIND(" - ", Train_Log[[#This Row],[COURSE NAME:]]), 13)</f>
        <v/>
      </c>
      <c r="T492">
        <f>MID(E492, FIND(" - ", E492) + 3, LEN(E492)) &amp; "_" &amp; TEXT(F492, "yyyymmdd") &amp; "_" &amp; TEXT(H492, "yyyymmdd")</f>
        <v/>
      </c>
    </row>
    <row r="493">
      <c r="B493" t="inlineStr">
        <is>
          <t>EE75</t>
        </is>
      </c>
      <c r="C493" t="inlineStr">
        <is>
          <t>No</t>
        </is>
      </c>
      <c r="D493" t="inlineStr">
        <is>
          <t>5530217</t>
        </is>
      </c>
      <c r="E493" t="inlineStr">
        <is>
          <t>LWOP - HCES SUPERUSER TRAINING</t>
        </is>
      </c>
      <c r="F493" s="111" t="n">
        <v>45619</v>
      </c>
      <c r="G493" s="111" t="n">
        <v>45620</v>
      </c>
      <c r="H493" s="111" t="n">
        <v>45620</v>
      </c>
      <c r="I493" t="n">
        <v>2</v>
      </c>
      <c r="J493" t="n">
        <v>2</v>
      </c>
      <c r="K493" t="inlineStr">
        <is>
          <t>TR 1</t>
        </is>
      </c>
      <c r="L493" t="inlineStr">
        <is>
          <t>TR 1</t>
        </is>
      </c>
      <c r="M493" t="inlineStr">
        <is>
          <t>--</t>
        </is>
      </c>
      <c r="N493" t="inlineStr">
        <is>
          <t>--</t>
        </is>
      </c>
      <c r="O493" t="inlineStr">
        <is>
          <t>JJH</t>
        </is>
      </c>
      <c r="Q493" s="62">
        <f>IF(C493="Yes", 1, IF(C493="no", 0, IF(C493= "tardy", SUM(J493/I493),"")))</f>
        <v/>
      </c>
      <c r="R493">
        <f>LEFT(Train_Log[[#This Row],[COURSE NAME:]],FIND(" - ", Train_Log[[#This Row],[COURSE NAME:]]) -1)</f>
        <v/>
      </c>
      <c r="S493">
        <f>MID(Train_Log[[#This Row],[COURSE NAME:]],FIND(" - ", Train_Log[[#This Row],[COURSE NAME:]]), 13)</f>
        <v/>
      </c>
      <c r="T493">
        <f>MID(E493, FIND(" - ", E493) + 3, LEN(E493)) &amp; "_" &amp; TEXT(F493, "yyyymmdd") &amp; "_" &amp; TEXT(H493, "yyyymmdd")</f>
        <v/>
      </c>
    </row>
    <row r="494">
      <c r="B494" t="inlineStr">
        <is>
          <t>EE36</t>
        </is>
      </c>
      <c r="C494" t="inlineStr">
        <is>
          <t>No</t>
        </is>
      </c>
      <c r="D494" t="inlineStr">
        <is>
          <t>5427114</t>
        </is>
      </c>
      <c r="E494" t="inlineStr">
        <is>
          <t>PHONES - LWOP</t>
        </is>
      </c>
      <c r="F494" s="111" t="n">
        <v>45635</v>
      </c>
      <c r="G494" s="111" t="n">
        <v>45635</v>
      </c>
      <c r="H494" s="111" t="n">
        <v>45635</v>
      </c>
      <c r="I494" t="n">
        <v>8</v>
      </c>
      <c r="J494" t="n">
        <v>8</v>
      </c>
      <c r="K494" t="inlineStr">
        <is>
          <t>TR 5</t>
        </is>
      </c>
      <c r="L494" t="inlineStr">
        <is>
          <t>TR 2</t>
        </is>
      </c>
      <c r="M494" t="inlineStr">
        <is>
          <t>--</t>
        </is>
      </c>
      <c r="N494" t="inlineStr">
        <is>
          <t>--</t>
        </is>
      </c>
      <c r="O494" t="inlineStr">
        <is>
          <t>JJH</t>
        </is>
      </c>
      <c r="Q494" s="62">
        <f>IF(C494="Yes", 1, IF(C494="no", 0, IF(C494= "tardy", SUM(J494/I494),"")))</f>
        <v/>
      </c>
      <c r="R494">
        <f>LEFT(Train_Log[[#This Row],[COURSE NAME:]],FIND(" - ", Train_Log[[#This Row],[COURSE NAME:]]) -1)</f>
        <v/>
      </c>
      <c r="S494">
        <f>MID(Train_Log[[#This Row],[COURSE NAME:]],FIND(" - ", Train_Log[[#This Row],[COURSE NAME:]]), 13)</f>
        <v/>
      </c>
      <c r="T494">
        <f>MID(E494, FIND(" - ", E494) + 3, LEN(E494)) &amp; "_" &amp; TEXT(F494, "yyyymmdd") &amp; "_" &amp; TEXT(H494, "yyyymmdd")</f>
        <v/>
      </c>
    </row>
    <row r="495">
      <c r="B495" t="inlineStr">
        <is>
          <t>EE96</t>
        </is>
      </c>
      <c r="C495" t="inlineStr">
        <is>
          <t>No</t>
        </is>
      </c>
      <c r="D495" t="inlineStr">
        <is>
          <t>6886360</t>
        </is>
      </c>
      <c r="E495" t="inlineStr">
        <is>
          <t>LWOP - HCES SUPERUSER TRAINING</t>
        </is>
      </c>
      <c r="F495" s="111" t="n">
        <v>45486</v>
      </c>
      <c r="G495" s="111" t="n">
        <v>45486</v>
      </c>
      <c r="H495" s="111" t="n">
        <v>45486</v>
      </c>
      <c r="I495" t="n">
        <v>4</v>
      </c>
      <c r="J495" t="n">
        <v>4</v>
      </c>
      <c r="K495" t="inlineStr">
        <is>
          <t>TR 5</t>
        </is>
      </c>
      <c r="L495" t="inlineStr">
        <is>
          <t>TR 7</t>
        </is>
      </c>
      <c r="M495" t="inlineStr">
        <is>
          <t>--</t>
        </is>
      </c>
      <c r="N495" t="inlineStr">
        <is>
          <t>--</t>
        </is>
      </c>
      <c r="O495" t="inlineStr">
        <is>
          <t>JJH</t>
        </is>
      </c>
      <c r="Q495" s="62">
        <f>IF(C495="Yes", 1, IF(C495="no", 0, IF(C495= "tardy", SUM(J495/I495),"")))</f>
        <v/>
      </c>
      <c r="R495">
        <f>LEFT(Train_Log[[#This Row],[COURSE NAME:]],FIND(" - ", Train_Log[[#This Row],[COURSE NAME:]]) -1)</f>
        <v/>
      </c>
      <c r="S495">
        <f>MID(Train_Log[[#This Row],[COURSE NAME:]],FIND(" - ", Train_Log[[#This Row],[COURSE NAME:]]), 13)</f>
        <v/>
      </c>
      <c r="T495">
        <f>MID(E495, FIND(" - ", E495) + 3, LEN(E495)) &amp; "_" &amp; TEXT(F495, "yyyymmdd") &amp; "_" &amp; TEXT(H495, "yyyymmdd")</f>
        <v/>
      </c>
    </row>
    <row r="496">
      <c r="B496" t="inlineStr">
        <is>
          <t>EE177</t>
        </is>
      </c>
      <c r="C496" t="inlineStr">
        <is>
          <t>No</t>
        </is>
      </c>
      <c r="D496" t="inlineStr">
        <is>
          <t>4677585</t>
        </is>
      </c>
      <c r="E496" t="inlineStr">
        <is>
          <t>OPTIONAL RETIREMENTS - MAILBUILD</t>
        </is>
      </c>
      <c r="F496" s="111" t="n">
        <v>45730</v>
      </c>
      <c r="G496" s="111" t="n">
        <v>45734</v>
      </c>
      <c r="H496" s="111" t="n">
        <v>45734</v>
      </c>
      <c r="I496" t="n">
        <v>2</v>
      </c>
      <c r="J496" t="n">
        <v>2</v>
      </c>
      <c r="K496" t="inlineStr">
        <is>
          <t>TR 2</t>
        </is>
      </c>
      <c r="L496" t="inlineStr">
        <is>
          <t>TR 3</t>
        </is>
      </c>
      <c r="M496" t="inlineStr">
        <is>
          <t>--</t>
        </is>
      </c>
      <c r="N496" t="inlineStr">
        <is>
          <t>--</t>
        </is>
      </c>
      <c r="O496" t="inlineStr">
        <is>
          <t>JJH</t>
        </is>
      </c>
      <c r="Q496" s="62">
        <f>IF(C496="Yes", 1, IF(C496="no", 0, IF(C496= "tardy", SUM(J496/I496),"")))</f>
        <v/>
      </c>
      <c r="R496">
        <f>LEFT(Train_Log[[#This Row],[COURSE NAME:]],FIND(" - ", Train_Log[[#This Row],[COURSE NAME:]]) -1)</f>
        <v/>
      </c>
      <c r="S496">
        <f>MID(Train_Log[[#This Row],[COURSE NAME:]],FIND(" - ", Train_Log[[#This Row],[COURSE NAME:]]), 13)</f>
        <v/>
      </c>
      <c r="T496">
        <f>MID(E496, FIND(" - ", E496) + 3, LEN(E496)) &amp; "_" &amp; TEXT(F496, "yyyymmdd") &amp; "_" &amp; TEXT(H496, "yyyymmdd")</f>
        <v/>
      </c>
    </row>
    <row r="497">
      <c r="B497" t="inlineStr">
        <is>
          <t>EE179</t>
        </is>
      </c>
      <c r="C497" t="inlineStr">
        <is>
          <t>No</t>
        </is>
      </c>
      <c r="D497" t="inlineStr">
        <is>
          <t>6224464</t>
        </is>
      </c>
      <c r="E497" t="inlineStr">
        <is>
          <t>PHONES - BENEFITS</t>
        </is>
      </c>
      <c r="F497" s="111" t="n">
        <v>45462</v>
      </c>
      <c r="G497" s="111" t="n">
        <v>45462</v>
      </c>
      <c r="H497" s="111" t="n">
        <v>45462</v>
      </c>
      <c r="I497" t="n">
        <v>8</v>
      </c>
      <c r="J497" t="n">
        <v>8</v>
      </c>
      <c r="K497" t="inlineStr">
        <is>
          <t>TR 8</t>
        </is>
      </c>
      <c r="L497" t="inlineStr">
        <is>
          <t>TR 10</t>
        </is>
      </c>
      <c r="M497" t="inlineStr">
        <is>
          <t>--</t>
        </is>
      </c>
      <c r="N497" t="inlineStr">
        <is>
          <t>--</t>
        </is>
      </c>
      <c r="O497" t="inlineStr">
        <is>
          <t>JJH</t>
        </is>
      </c>
      <c r="Q497" s="62">
        <f>IF(C497="Yes", 1, IF(C497="no", 0, IF(C497= "tardy", SUM(J497/I497),"")))</f>
        <v/>
      </c>
      <c r="R497">
        <f>LEFT(Train_Log[[#This Row],[COURSE NAME:]],FIND(" - ", Train_Log[[#This Row],[COURSE NAME:]]) -1)</f>
        <v/>
      </c>
      <c r="S497">
        <f>MID(Train_Log[[#This Row],[COURSE NAME:]],FIND(" - ", Train_Log[[#This Row],[COURSE NAME:]]), 13)</f>
        <v/>
      </c>
      <c r="T497">
        <f>MID(E497, FIND(" - ", E497) + 3, LEN(E497)) &amp; "_" &amp; TEXT(F497, "yyyymmdd") &amp; "_" &amp; TEXT(H497, "yyyymmdd")</f>
        <v/>
      </c>
    </row>
    <row r="498">
      <c r="B498" t="inlineStr">
        <is>
          <t>EE174</t>
        </is>
      </c>
      <c r="C498" t="inlineStr">
        <is>
          <t>No</t>
        </is>
      </c>
      <c r="D498" t="inlineStr">
        <is>
          <t>4834293</t>
        </is>
      </c>
      <c r="E498" t="inlineStr">
        <is>
          <t>OPTIONAL RETIREMENTS - MAILBUILD</t>
        </is>
      </c>
      <c r="F498" s="111" t="n">
        <v>45484</v>
      </c>
      <c r="G498" s="111" t="n">
        <v>45486</v>
      </c>
      <c r="H498" s="111" t="n">
        <v>45486</v>
      </c>
      <c r="I498" t="n">
        <v>3</v>
      </c>
      <c r="J498" t="n">
        <v>3</v>
      </c>
      <c r="K498" t="inlineStr">
        <is>
          <t>TR 10</t>
        </is>
      </c>
      <c r="L498" t="inlineStr">
        <is>
          <t>TR 1</t>
        </is>
      </c>
      <c r="M498" t="inlineStr">
        <is>
          <t>--</t>
        </is>
      </c>
      <c r="N498" t="inlineStr">
        <is>
          <t>--</t>
        </is>
      </c>
      <c r="O498" t="inlineStr">
        <is>
          <t>JJH</t>
        </is>
      </c>
      <c r="Q498" s="62">
        <f>IF(C498="Yes", 1, IF(C498="no", 0, IF(C498= "tardy", SUM(J498/I498),"")))</f>
        <v/>
      </c>
      <c r="R498">
        <f>LEFT(Train_Log[[#This Row],[COURSE NAME:]],FIND(" - ", Train_Log[[#This Row],[COURSE NAME:]]) -1)</f>
        <v/>
      </c>
      <c r="S498">
        <f>MID(Train_Log[[#This Row],[COURSE NAME:]],FIND(" - ", Train_Log[[#This Row],[COURSE NAME:]]), 13)</f>
        <v/>
      </c>
      <c r="T498">
        <f>MID(E498, FIND(" - ", E498) + 3, LEN(E498)) &amp; "_" &amp; TEXT(F498, "yyyymmdd") &amp; "_" &amp; TEXT(H498, "yyyymmdd")</f>
        <v/>
      </c>
    </row>
    <row r="499">
      <c r="B499" t="inlineStr">
        <is>
          <t>EE176</t>
        </is>
      </c>
      <c r="C499" t="inlineStr">
        <is>
          <t>No</t>
        </is>
      </c>
      <c r="D499" t="inlineStr">
        <is>
          <t>5568308</t>
        </is>
      </c>
      <c r="E499" t="inlineStr">
        <is>
          <t>PHONES - LWOP</t>
        </is>
      </c>
      <c r="F499" s="111" t="n">
        <v>45793</v>
      </c>
      <c r="G499" s="111" t="n">
        <v>45794</v>
      </c>
      <c r="H499" s="111" t="n">
        <v>45794</v>
      </c>
      <c r="I499" t="n">
        <v>4</v>
      </c>
      <c r="J499" t="n">
        <v>4</v>
      </c>
      <c r="K499" t="inlineStr">
        <is>
          <t>TR 8</t>
        </is>
      </c>
      <c r="L499" t="inlineStr">
        <is>
          <t>TR 1</t>
        </is>
      </c>
      <c r="M499" t="inlineStr">
        <is>
          <t>--</t>
        </is>
      </c>
      <c r="N499" t="inlineStr">
        <is>
          <t>--</t>
        </is>
      </c>
      <c r="O499" t="inlineStr">
        <is>
          <t>JJH</t>
        </is>
      </c>
      <c r="Q499" s="62">
        <f>IF(C499="Yes", 1, IF(C499="no", 0, IF(C499= "tardy", SUM(J499/I499),"")))</f>
        <v/>
      </c>
      <c r="R499">
        <f>LEFT(Train_Log[[#This Row],[COURSE NAME:]],FIND(" - ", Train_Log[[#This Row],[COURSE NAME:]]) -1)</f>
        <v/>
      </c>
      <c r="S499">
        <f>MID(Train_Log[[#This Row],[COURSE NAME:]],FIND(" - ", Train_Log[[#This Row],[COURSE NAME:]]), 13)</f>
        <v/>
      </c>
      <c r="T499">
        <f>MID(E499, FIND(" - ", E499) + 3, LEN(E499)) &amp; "_" &amp; TEXT(F499, "yyyymmdd") &amp; "_" &amp; TEXT(H499, "yyyymmdd")</f>
        <v/>
      </c>
    </row>
    <row r="500">
      <c r="B500" t="inlineStr">
        <is>
          <t>EE17</t>
        </is>
      </c>
      <c r="C500" t="inlineStr">
        <is>
          <t>No</t>
        </is>
      </c>
      <c r="D500" t="inlineStr">
        <is>
          <t>4917034</t>
        </is>
      </c>
      <c r="E500" t="inlineStr">
        <is>
          <t>RTR - EFORM SEPARATIONS TRAINING</t>
        </is>
      </c>
      <c r="F500" s="111" t="n">
        <v>45620</v>
      </c>
      <c r="G500" s="111" t="n">
        <v>45620</v>
      </c>
      <c r="H500" s="111" t="n">
        <v>45620</v>
      </c>
      <c r="I500" t="n">
        <v>8</v>
      </c>
      <c r="J500" t="n">
        <v>8</v>
      </c>
      <c r="K500" t="inlineStr">
        <is>
          <t>TR 10</t>
        </is>
      </c>
      <c r="L500" t="inlineStr">
        <is>
          <t>TR 10</t>
        </is>
      </c>
      <c r="M500" t="inlineStr">
        <is>
          <t>--</t>
        </is>
      </c>
      <c r="N500" t="inlineStr">
        <is>
          <t>--</t>
        </is>
      </c>
      <c r="O500" t="inlineStr">
        <is>
          <t>JJH</t>
        </is>
      </c>
      <c r="Q500" s="62">
        <f>IF(C500="Yes", 1, IF(C500="no", 0, IF(C500= "tardy", SUM(J500/I500),"")))</f>
        <v/>
      </c>
      <c r="R500">
        <f>LEFT(Train_Log[[#This Row],[COURSE NAME:]],FIND(" - ", Train_Log[[#This Row],[COURSE NAME:]]) -1)</f>
        <v/>
      </c>
      <c r="S500">
        <f>MID(Train_Log[[#This Row],[COURSE NAME:]],FIND(" - ", Train_Log[[#This Row],[COURSE NAME:]]), 13)</f>
        <v/>
      </c>
      <c r="T500">
        <f>MID(E500, FIND(" - ", E500) + 3, LEN(E500)) &amp; "_" &amp; TEXT(F500, "yyyymmdd") &amp; "_" &amp; TEXT(H500, "yyyymmdd")</f>
        <v/>
      </c>
    </row>
    <row r="501">
      <c r="B501" t="inlineStr">
        <is>
          <t>EE58</t>
        </is>
      </c>
      <c r="C501" t="inlineStr">
        <is>
          <t>No</t>
        </is>
      </c>
      <c r="D501" t="inlineStr">
        <is>
          <t>6594259</t>
        </is>
      </c>
      <c r="E501" t="inlineStr">
        <is>
          <t>LWOP - HCES SUPERUSER TRAINING</t>
        </is>
      </c>
      <c r="F501" s="111" t="n">
        <v>45396</v>
      </c>
      <c r="G501" s="111" t="n">
        <v>45397</v>
      </c>
      <c r="H501" s="111" t="n">
        <v>45397</v>
      </c>
      <c r="I501" t="n">
        <v>2</v>
      </c>
      <c r="J501" t="n">
        <v>2</v>
      </c>
      <c r="K501" t="inlineStr">
        <is>
          <t>TR 8</t>
        </is>
      </c>
      <c r="L501" t="inlineStr">
        <is>
          <t>TR 6</t>
        </is>
      </c>
      <c r="M501" t="inlineStr">
        <is>
          <t>--</t>
        </is>
      </c>
      <c r="N501" t="inlineStr">
        <is>
          <t>--</t>
        </is>
      </c>
      <c r="O501" t="inlineStr">
        <is>
          <t>JJH</t>
        </is>
      </c>
      <c r="Q501" s="62">
        <f>IF(C501="Yes", 1, IF(C501="no", 0, IF(C501= "tardy", SUM(J501/I501),"")))</f>
        <v/>
      </c>
      <c r="R501">
        <f>LEFT(Train_Log[[#This Row],[COURSE NAME:]],FIND(" - ", Train_Log[[#This Row],[COURSE NAME:]]) -1)</f>
        <v/>
      </c>
      <c r="S501">
        <f>MID(Train_Log[[#This Row],[COURSE NAME:]],FIND(" - ", Train_Log[[#This Row],[COURSE NAME:]]), 13)</f>
        <v/>
      </c>
      <c r="T501">
        <f>MID(E501, FIND(" - ", E501) + 3, LEN(E501)) &amp; "_" &amp; TEXT(F501, "yyyymmdd") &amp; "_" &amp; TEXT(H501, "yyyymmdd")</f>
        <v/>
      </c>
    </row>
    <row r="502">
      <c r="B502" t="inlineStr">
        <is>
          <t>EE170</t>
        </is>
      </c>
      <c r="C502" t="inlineStr">
        <is>
          <t>No</t>
        </is>
      </c>
      <c r="D502" t="inlineStr">
        <is>
          <t>5251768</t>
        </is>
      </c>
      <c r="E502" t="inlineStr">
        <is>
          <t>LWOP - HCES SU FACILITATION TRAINING</t>
        </is>
      </c>
      <c r="F502" s="111" t="n">
        <v>45451</v>
      </c>
      <c r="G502" s="111" t="n">
        <v>45453</v>
      </c>
      <c r="H502" s="111" t="n">
        <v>45453</v>
      </c>
      <c r="I502" t="n">
        <v>8</v>
      </c>
      <c r="J502" t="n">
        <v>8</v>
      </c>
      <c r="K502" t="inlineStr">
        <is>
          <t>TR 1</t>
        </is>
      </c>
      <c r="L502" t="inlineStr">
        <is>
          <t>TR 1</t>
        </is>
      </c>
      <c r="M502" t="inlineStr">
        <is>
          <t>--</t>
        </is>
      </c>
      <c r="N502" t="inlineStr">
        <is>
          <t>--</t>
        </is>
      </c>
      <c r="O502" t="inlineStr">
        <is>
          <t>JJH</t>
        </is>
      </c>
      <c r="Q502" s="62">
        <f>IF(C502="Yes", 1, IF(C502="no", 0, IF(C502= "tardy", SUM(J502/I502),"")))</f>
        <v/>
      </c>
      <c r="R502">
        <f>LEFT(Train_Log[[#This Row],[COURSE NAME:]],FIND(" - ", Train_Log[[#This Row],[COURSE NAME:]]) -1)</f>
        <v/>
      </c>
      <c r="S502">
        <f>MID(Train_Log[[#This Row],[COURSE NAME:]],FIND(" - ", Train_Log[[#This Row],[COURSE NAME:]]), 13)</f>
        <v/>
      </c>
      <c r="T502">
        <f>MID(E502, FIND(" - ", E502) + 3, LEN(E502)) &amp; "_" &amp; TEXT(F502, "yyyymmdd") &amp; "_" &amp; TEXT(H502, "yyyymmdd")</f>
        <v/>
      </c>
    </row>
    <row r="503">
      <c r="B503" t="inlineStr">
        <is>
          <t>EE165</t>
        </is>
      </c>
      <c r="C503" t="inlineStr">
        <is>
          <t>No</t>
        </is>
      </c>
      <c r="D503" t="inlineStr">
        <is>
          <t>6099610</t>
        </is>
      </c>
      <c r="E503" t="inlineStr">
        <is>
          <t>PHONES - LWOP</t>
        </is>
      </c>
      <c r="F503" s="111" t="n">
        <v>45816</v>
      </c>
      <c r="G503" s="111" t="n">
        <v>45817</v>
      </c>
      <c r="H503" s="111" t="n">
        <v>45817</v>
      </c>
      <c r="I503" t="n">
        <v>2</v>
      </c>
      <c r="J503" t="n">
        <v>2</v>
      </c>
      <c r="K503" t="inlineStr">
        <is>
          <t>TR 2</t>
        </is>
      </c>
      <c r="L503" t="inlineStr">
        <is>
          <t>TR 8</t>
        </is>
      </c>
      <c r="M503" t="inlineStr">
        <is>
          <t>--</t>
        </is>
      </c>
      <c r="N503" t="inlineStr">
        <is>
          <t>--</t>
        </is>
      </c>
      <c r="O503" t="inlineStr">
        <is>
          <t>JJH</t>
        </is>
      </c>
      <c r="Q503" s="62">
        <f>IF(C503="Yes", 1, IF(C503="no", 0, IF(C503= "tardy", SUM(J503/I503),"")))</f>
        <v/>
      </c>
      <c r="R503">
        <f>LEFT(Train_Log[[#This Row],[COURSE NAME:]],FIND(" - ", Train_Log[[#This Row],[COURSE NAME:]]) -1)</f>
        <v/>
      </c>
      <c r="S503">
        <f>MID(Train_Log[[#This Row],[COURSE NAME:]],FIND(" - ", Train_Log[[#This Row],[COURSE NAME:]]), 13)</f>
        <v/>
      </c>
      <c r="T503">
        <f>MID(E503, FIND(" - ", E503) + 3, LEN(E503)) &amp; "_" &amp; TEXT(F503, "yyyymmdd") &amp; "_" &amp; TEXT(H503, "yyyymmdd")</f>
        <v/>
      </c>
    </row>
    <row r="504">
      <c r="B504" t="inlineStr">
        <is>
          <t>EE83</t>
        </is>
      </c>
      <c r="C504" t="inlineStr">
        <is>
          <t>tardy</t>
        </is>
      </c>
      <c r="D504" t="inlineStr">
        <is>
          <t>6867006</t>
        </is>
      </c>
      <c r="E504" t="inlineStr">
        <is>
          <t>SUPPORT - TRAINING - PTSP TRAINING</t>
        </is>
      </c>
      <c r="F504" s="111" t="n">
        <v>45637</v>
      </c>
      <c r="G504" s="111" t="n">
        <v>45637</v>
      </c>
      <c r="H504" s="111" t="n">
        <v>45637</v>
      </c>
      <c r="I504" t="n">
        <v>2</v>
      </c>
      <c r="J504" t="n">
        <v>1.44</v>
      </c>
      <c r="K504" t="inlineStr">
        <is>
          <t>TR 7</t>
        </is>
      </c>
      <c r="L504" t="inlineStr">
        <is>
          <t>TR 7</t>
        </is>
      </c>
      <c r="M504" t="inlineStr">
        <is>
          <t>--</t>
        </is>
      </c>
      <c r="N504" t="inlineStr">
        <is>
          <t>--</t>
        </is>
      </c>
      <c r="O504" t="inlineStr">
        <is>
          <t>JJH</t>
        </is>
      </c>
      <c r="Q504" s="62">
        <f>IF(C504="Yes", 1, IF(C504="no", 0, IF(C504= "tardy", SUM(J504/I504),"")))</f>
        <v/>
      </c>
      <c r="R504">
        <f>LEFT(Train_Log[[#This Row],[COURSE NAME:]],FIND(" - ", Train_Log[[#This Row],[COURSE NAME:]]) -1)</f>
        <v/>
      </c>
      <c r="S504">
        <f>MID(Train_Log[[#This Row],[COURSE NAME:]],FIND(" - ", Train_Log[[#This Row],[COURSE NAME:]]), 13)</f>
        <v/>
      </c>
      <c r="T504">
        <f>MID(E504, FIND(" - ", E504) + 3, LEN(E504)) &amp; "_" &amp; TEXT(F504, "yyyymmdd") &amp; "_" &amp; TEXT(H504, "yyyymmdd")</f>
        <v/>
      </c>
    </row>
    <row r="505">
      <c r="B505" t="inlineStr">
        <is>
          <t>EE61</t>
        </is>
      </c>
      <c r="C505" t="inlineStr">
        <is>
          <t>No</t>
        </is>
      </c>
      <c r="D505" t="inlineStr">
        <is>
          <t>4806516</t>
        </is>
      </c>
      <c r="E505" t="inlineStr">
        <is>
          <t>PHONES - EMPLOYMENT VERIFICATION</t>
        </is>
      </c>
      <c r="F505" s="111" t="n">
        <v>45769</v>
      </c>
      <c r="G505" s="111" t="n">
        <v>45770</v>
      </c>
      <c r="H505" s="111" t="n">
        <v>45770</v>
      </c>
      <c r="I505" t="n">
        <v>4</v>
      </c>
      <c r="J505" t="n">
        <v>4</v>
      </c>
      <c r="K505" t="inlineStr">
        <is>
          <t>TR 2</t>
        </is>
      </c>
      <c r="L505" t="inlineStr">
        <is>
          <t>TR 8</t>
        </is>
      </c>
      <c r="M505" t="inlineStr">
        <is>
          <t>--</t>
        </is>
      </c>
      <c r="N505" t="inlineStr">
        <is>
          <t>--</t>
        </is>
      </c>
      <c r="O505" t="inlineStr">
        <is>
          <t>JJH</t>
        </is>
      </c>
      <c r="Q505" s="62">
        <f>IF(C505="Yes", 1, IF(C505="no", 0, IF(C505= "tardy", SUM(J505/I505),"")))</f>
        <v/>
      </c>
      <c r="R505">
        <f>LEFT(Train_Log[[#This Row],[COURSE NAME:]],FIND(" - ", Train_Log[[#This Row],[COURSE NAME:]]) -1)</f>
        <v/>
      </c>
      <c r="S505">
        <f>MID(Train_Log[[#This Row],[COURSE NAME:]],FIND(" - ", Train_Log[[#This Row],[COURSE NAME:]]), 13)</f>
        <v/>
      </c>
      <c r="T505">
        <f>MID(E505, FIND(" - ", E505) + 3, LEN(E505)) &amp; "_" &amp; TEXT(F505, "yyyymmdd") &amp; "_" &amp; TEXT(H505, "yyyymmdd")</f>
        <v/>
      </c>
    </row>
    <row r="506">
      <c r="B506" t="inlineStr">
        <is>
          <t>EE115</t>
        </is>
      </c>
      <c r="C506" t="inlineStr">
        <is>
          <t>No</t>
        </is>
      </c>
      <c r="D506" t="inlineStr">
        <is>
          <t>6696316</t>
        </is>
      </c>
      <c r="E506" t="inlineStr">
        <is>
          <t>LWOP - HCES SUPERUSER TRAINING</t>
        </is>
      </c>
      <c r="F506" s="111" t="n">
        <v>45420</v>
      </c>
      <c r="G506" s="111" t="n">
        <v>45421</v>
      </c>
      <c r="H506" s="111" t="n">
        <v>45421</v>
      </c>
      <c r="I506" t="n">
        <v>2</v>
      </c>
      <c r="J506" t="n">
        <v>2</v>
      </c>
      <c r="K506" t="inlineStr">
        <is>
          <t>TR 2</t>
        </is>
      </c>
      <c r="L506" t="inlineStr">
        <is>
          <t>TR 7</t>
        </is>
      </c>
      <c r="M506" t="inlineStr">
        <is>
          <t>--</t>
        </is>
      </c>
      <c r="N506" t="inlineStr">
        <is>
          <t>--</t>
        </is>
      </c>
      <c r="O506" t="inlineStr">
        <is>
          <t>JJH</t>
        </is>
      </c>
      <c r="Q506" s="62">
        <f>IF(C506="Yes", 1, IF(C506="no", 0, IF(C506= "tardy", SUM(J506/I506),"")))</f>
        <v/>
      </c>
      <c r="R506">
        <f>LEFT(Train_Log[[#This Row],[COURSE NAME:]],FIND(" - ", Train_Log[[#This Row],[COURSE NAME:]]) -1)</f>
        <v/>
      </c>
      <c r="S506">
        <f>MID(Train_Log[[#This Row],[COURSE NAME:]],FIND(" - ", Train_Log[[#This Row],[COURSE NAME:]]), 13)</f>
        <v/>
      </c>
      <c r="T506">
        <f>MID(E506, FIND(" - ", E506) + 3, LEN(E506)) &amp; "_" &amp; TEXT(F506, "yyyymmdd") &amp; "_" &amp; TEXT(H506, "yyyymmdd")</f>
        <v/>
      </c>
    </row>
    <row r="507">
      <c r="B507" t="inlineStr">
        <is>
          <t>EE106</t>
        </is>
      </c>
      <c r="C507" t="inlineStr">
        <is>
          <t>No</t>
        </is>
      </c>
      <c r="D507" t="inlineStr">
        <is>
          <t>5122986</t>
        </is>
      </c>
      <c r="E507" t="inlineStr">
        <is>
          <t>PHONES - BENEFITS</t>
        </is>
      </c>
      <c r="F507" s="111" t="n">
        <v>45299</v>
      </c>
      <c r="G507" s="111" t="n">
        <v>45299</v>
      </c>
      <c r="H507" s="111" t="n">
        <v>45299</v>
      </c>
      <c r="I507" t="n">
        <v>8</v>
      </c>
      <c r="J507" t="n">
        <v>8</v>
      </c>
      <c r="K507" t="inlineStr">
        <is>
          <t>TR 5</t>
        </is>
      </c>
      <c r="L507" t="inlineStr">
        <is>
          <t>TR 9</t>
        </is>
      </c>
      <c r="M507" t="inlineStr">
        <is>
          <t>--</t>
        </is>
      </c>
      <c r="N507" t="inlineStr">
        <is>
          <t>--</t>
        </is>
      </c>
      <c r="O507" t="inlineStr">
        <is>
          <t>JJH</t>
        </is>
      </c>
      <c r="Q507" s="62">
        <f>IF(C507="Yes", 1, IF(C507="no", 0, IF(C507= "tardy", SUM(J507/I507),"")))</f>
        <v/>
      </c>
      <c r="R507">
        <f>LEFT(Train_Log[[#This Row],[COURSE NAME:]],FIND(" - ", Train_Log[[#This Row],[COURSE NAME:]]) -1)</f>
        <v/>
      </c>
      <c r="S507">
        <f>MID(Train_Log[[#This Row],[COURSE NAME:]],FIND(" - ", Train_Log[[#This Row],[COURSE NAME:]]), 13)</f>
        <v/>
      </c>
      <c r="T507">
        <f>MID(E507, FIND(" - ", E507) + 3, LEN(E507)) &amp; "_" &amp; TEXT(F507, "yyyymmdd") &amp; "_" &amp; TEXT(H507, "yyyymmdd")</f>
        <v/>
      </c>
    </row>
    <row r="508">
      <c r="B508" t="inlineStr">
        <is>
          <t>EE144</t>
        </is>
      </c>
      <c r="C508" t="inlineStr">
        <is>
          <t>No</t>
        </is>
      </c>
      <c r="D508" t="inlineStr">
        <is>
          <t>5600627</t>
        </is>
      </c>
      <c r="E508" t="inlineStr">
        <is>
          <t>SUPPORT - TRAINING - PTSP TRAINING</t>
        </is>
      </c>
      <c r="F508" s="111" t="n">
        <v>45766</v>
      </c>
      <c r="G508" s="111" t="n">
        <v>45766</v>
      </c>
      <c r="H508" s="111" t="n">
        <v>45766</v>
      </c>
      <c r="I508" t="n">
        <v>2</v>
      </c>
      <c r="J508" t="n">
        <v>2</v>
      </c>
      <c r="K508" t="inlineStr">
        <is>
          <t>TR 4</t>
        </is>
      </c>
      <c r="L508" t="inlineStr">
        <is>
          <t>TR 8</t>
        </is>
      </c>
      <c r="M508" t="inlineStr">
        <is>
          <t>--</t>
        </is>
      </c>
      <c r="N508" t="inlineStr">
        <is>
          <t>--</t>
        </is>
      </c>
      <c r="O508" t="inlineStr">
        <is>
          <t>JJH</t>
        </is>
      </c>
      <c r="Q508" s="62">
        <f>IF(C508="Yes", 1, IF(C508="no", 0, IF(C508= "tardy", SUM(J508/I508),"")))</f>
        <v/>
      </c>
      <c r="R508">
        <f>LEFT(Train_Log[[#This Row],[COURSE NAME:]],FIND(" - ", Train_Log[[#This Row],[COURSE NAME:]]) -1)</f>
        <v/>
      </c>
      <c r="S508">
        <f>MID(Train_Log[[#This Row],[COURSE NAME:]],FIND(" - ", Train_Log[[#This Row],[COURSE NAME:]]), 13)</f>
        <v/>
      </c>
      <c r="T508">
        <f>MID(E508, FIND(" - ", E508) + 3, LEN(E508)) &amp; "_" &amp; TEXT(F508, "yyyymmdd") &amp; "_" &amp; TEXT(H508, "yyyymmdd")</f>
        <v/>
      </c>
    </row>
    <row r="509">
      <c r="B509" t="inlineStr">
        <is>
          <t>EE85</t>
        </is>
      </c>
      <c r="C509" t="inlineStr">
        <is>
          <t>No</t>
        </is>
      </c>
      <c r="D509" t="inlineStr">
        <is>
          <t>4299483</t>
        </is>
      </c>
      <c r="E509" t="inlineStr">
        <is>
          <t>OPTIONAL RETIREMENTS - MAILBUILD</t>
        </is>
      </c>
      <c r="F509" s="111" t="n">
        <v>45671</v>
      </c>
      <c r="G509" s="111" t="n">
        <v>45675</v>
      </c>
      <c r="H509" s="111" t="n">
        <v>45675</v>
      </c>
      <c r="I509" t="n">
        <v>2</v>
      </c>
      <c r="J509" t="n">
        <v>2</v>
      </c>
      <c r="K509" t="inlineStr">
        <is>
          <t>TR 4</t>
        </is>
      </c>
      <c r="L509" t="inlineStr">
        <is>
          <t>TR 1</t>
        </is>
      </c>
      <c r="M509" t="inlineStr">
        <is>
          <t>--</t>
        </is>
      </c>
      <c r="N509" t="inlineStr">
        <is>
          <t>--</t>
        </is>
      </c>
      <c r="O509" t="inlineStr">
        <is>
          <t>JJH</t>
        </is>
      </c>
      <c r="Q509" s="62">
        <f>IF(C509="Yes", 1, IF(C509="no", 0, IF(C509= "tardy", SUM(J509/I509),"")))</f>
        <v/>
      </c>
      <c r="R509">
        <f>LEFT(Train_Log[[#This Row],[COURSE NAME:]],FIND(" - ", Train_Log[[#This Row],[COURSE NAME:]]) -1)</f>
        <v/>
      </c>
      <c r="S509">
        <f>MID(Train_Log[[#This Row],[COURSE NAME:]],FIND(" - ", Train_Log[[#This Row],[COURSE NAME:]]), 13)</f>
        <v/>
      </c>
      <c r="T509">
        <f>MID(E509, FIND(" - ", E509) + 3, LEN(E509)) &amp; "_" &amp; TEXT(F509, "yyyymmdd") &amp; "_" &amp; TEXT(H509, "yyyymmdd")</f>
        <v/>
      </c>
    </row>
    <row r="510">
      <c r="B510" t="inlineStr">
        <is>
          <t>EE88</t>
        </is>
      </c>
      <c r="C510" t="inlineStr">
        <is>
          <t>No</t>
        </is>
      </c>
      <c r="D510" t="inlineStr">
        <is>
          <t>4717807</t>
        </is>
      </c>
      <c r="E510" t="inlineStr">
        <is>
          <t>LWOP - HCES SUPERUSER TRAINING</t>
        </is>
      </c>
      <c r="F510" s="111" t="n">
        <v>45597</v>
      </c>
      <c r="G510" s="111" t="n">
        <v>45599</v>
      </c>
      <c r="H510" s="111" t="n">
        <v>45599</v>
      </c>
      <c r="I510" t="n">
        <v>2</v>
      </c>
      <c r="J510" t="n">
        <v>2</v>
      </c>
      <c r="K510" t="inlineStr">
        <is>
          <t>TR 1</t>
        </is>
      </c>
      <c r="L510" t="inlineStr">
        <is>
          <t>TR 3</t>
        </is>
      </c>
      <c r="M510" t="inlineStr">
        <is>
          <t>--</t>
        </is>
      </c>
      <c r="N510" t="inlineStr">
        <is>
          <t>--</t>
        </is>
      </c>
      <c r="O510" t="inlineStr">
        <is>
          <t>JJH</t>
        </is>
      </c>
      <c r="Q510" s="62">
        <f>IF(C510="Yes", 1, IF(C510="no", 0, IF(C510= "tardy", SUM(J510/I510),"")))</f>
        <v/>
      </c>
      <c r="R510">
        <f>LEFT(Train_Log[[#This Row],[COURSE NAME:]],FIND(" - ", Train_Log[[#This Row],[COURSE NAME:]]) -1)</f>
        <v/>
      </c>
      <c r="S510">
        <f>MID(Train_Log[[#This Row],[COURSE NAME:]],FIND(" - ", Train_Log[[#This Row],[COURSE NAME:]]), 13)</f>
        <v/>
      </c>
      <c r="T510">
        <f>MID(E510, FIND(" - ", E510) + 3, LEN(E510)) &amp; "_" &amp; TEXT(F510, "yyyymmdd") &amp; "_" &amp; TEXT(H510, "yyyymmdd")</f>
        <v/>
      </c>
    </row>
    <row r="511">
      <c r="B511" t="inlineStr">
        <is>
          <t>EE127</t>
        </is>
      </c>
      <c r="C511" t="inlineStr">
        <is>
          <t>No</t>
        </is>
      </c>
      <c r="D511" t="inlineStr">
        <is>
          <t>5675207</t>
        </is>
      </c>
      <c r="E511" t="inlineStr">
        <is>
          <t>PHONES - LWOP</t>
        </is>
      </c>
      <c r="F511" s="111" t="n">
        <v>45718</v>
      </c>
      <c r="G511" s="111" t="n">
        <v>45718</v>
      </c>
      <c r="H511" s="111" t="n">
        <v>45718</v>
      </c>
      <c r="I511" t="n">
        <v>2</v>
      </c>
      <c r="J511" t="n">
        <v>2</v>
      </c>
      <c r="K511" t="inlineStr">
        <is>
          <t>TR 4</t>
        </is>
      </c>
      <c r="L511" t="inlineStr">
        <is>
          <t>TR 2</t>
        </is>
      </c>
      <c r="M511" t="inlineStr">
        <is>
          <t>--</t>
        </is>
      </c>
      <c r="N511" t="inlineStr">
        <is>
          <t>--</t>
        </is>
      </c>
      <c r="O511" t="inlineStr">
        <is>
          <t>JJH</t>
        </is>
      </c>
      <c r="Q511" s="62">
        <f>IF(C511="Yes", 1, IF(C511="no", 0, IF(C511= "tardy", SUM(J511/I511),"")))</f>
        <v/>
      </c>
      <c r="R511">
        <f>LEFT(Train_Log[[#This Row],[COURSE NAME:]],FIND(" - ", Train_Log[[#This Row],[COURSE NAME:]]) -1)</f>
        <v/>
      </c>
      <c r="S511">
        <f>MID(Train_Log[[#This Row],[COURSE NAME:]],FIND(" - ", Train_Log[[#This Row],[COURSE NAME:]]), 13)</f>
        <v/>
      </c>
      <c r="T511">
        <f>MID(E511, FIND(" - ", E511) + 3, LEN(E511)) &amp; "_" &amp; TEXT(F511, "yyyymmdd") &amp; "_" &amp; TEXT(H511, "yyyymmdd")</f>
        <v/>
      </c>
    </row>
    <row r="512">
      <c r="B512" t="inlineStr">
        <is>
          <t>EE101</t>
        </is>
      </c>
      <c r="C512" t="inlineStr">
        <is>
          <t>No</t>
        </is>
      </c>
      <c r="D512" t="inlineStr">
        <is>
          <t>4234620</t>
        </is>
      </c>
      <c r="E512" t="inlineStr">
        <is>
          <t>SUPPORT - TRAINING - PTSP TRAINING</t>
        </is>
      </c>
      <c r="F512" s="111" t="n">
        <v>45767</v>
      </c>
      <c r="G512" s="111" t="n">
        <v>45767</v>
      </c>
      <c r="H512" s="111" t="n">
        <v>45767</v>
      </c>
      <c r="I512" t="n">
        <v>2</v>
      </c>
      <c r="J512" t="n">
        <v>2</v>
      </c>
      <c r="K512" t="inlineStr">
        <is>
          <t>TR 7</t>
        </is>
      </c>
      <c r="L512" t="inlineStr">
        <is>
          <t>TR 1</t>
        </is>
      </c>
      <c r="M512" t="inlineStr">
        <is>
          <t>--</t>
        </is>
      </c>
      <c r="N512" t="inlineStr">
        <is>
          <t>--</t>
        </is>
      </c>
      <c r="O512" t="inlineStr">
        <is>
          <t>JJH</t>
        </is>
      </c>
      <c r="Q512" s="62">
        <f>IF(C512="Yes", 1, IF(C512="no", 0, IF(C512= "tardy", SUM(J512/I512),"")))</f>
        <v/>
      </c>
      <c r="R512">
        <f>LEFT(Train_Log[[#This Row],[COURSE NAME:]],FIND(" - ", Train_Log[[#This Row],[COURSE NAME:]]) -1)</f>
        <v/>
      </c>
      <c r="S512">
        <f>MID(Train_Log[[#This Row],[COURSE NAME:]],FIND(" - ", Train_Log[[#This Row],[COURSE NAME:]]), 13)</f>
        <v/>
      </c>
      <c r="T512">
        <f>MID(E512, FIND(" - ", E512) + 3, LEN(E512)) &amp; "_" &amp; TEXT(F512, "yyyymmdd") &amp; "_" &amp; TEXT(H512, "yyyymmdd")</f>
        <v/>
      </c>
    </row>
    <row r="513">
      <c r="B513" t="inlineStr">
        <is>
          <t>EE163</t>
        </is>
      </c>
      <c r="C513" t="inlineStr">
        <is>
          <t>No</t>
        </is>
      </c>
      <c r="D513" t="inlineStr">
        <is>
          <t>4013611</t>
        </is>
      </c>
      <c r="E513" t="inlineStr">
        <is>
          <t>PHONES - EMPLOYMENT VERIFICATION</t>
        </is>
      </c>
      <c r="F513" s="111" t="n">
        <v>45760</v>
      </c>
      <c r="G513" s="111" t="n">
        <v>45761</v>
      </c>
      <c r="H513" s="111" t="n">
        <v>45761</v>
      </c>
      <c r="I513" t="n">
        <v>8</v>
      </c>
      <c r="J513" t="n">
        <v>8</v>
      </c>
      <c r="K513" t="inlineStr">
        <is>
          <t>TR 3</t>
        </is>
      </c>
      <c r="L513" t="inlineStr">
        <is>
          <t>TR 8</t>
        </is>
      </c>
      <c r="M513" t="inlineStr">
        <is>
          <t>--</t>
        </is>
      </c>
      <c r="N513" t="inlineStr">
        <is>
          <t>--</t>
        </is>
      </c>
      <c r="O513" t="inlineStr">
        <is>
          <t>JJH</t>
        </is>
      </c>
      <c r="Q513" s="62">
        <f>IF(C513="Yes", 1, IF(C513="no", 0, IF(C513= "tardy", SUM(J513/I513),"")))</f>
        <v/>
      </c>
      <c r="R513">
        <f>LEFT(Train_Log[[#This Row],[COURSE NAME:]],FIND(" - ", Train_Log[[#This Row],[COURSE NAME:]]) -1)</f>
        <v/>
      </c>
      <c r="S513">
        <f>MID(Train_Log[[#This Row],[COURSE NAME:]],FIND(" - ", Train_Log[[#This Row],[COURSE NAME:]]), 13)</f>
        <v/>
      </c>
      <c r="T513">
        <f>MID(E513, FIND(" - ", E513) + 3, LEN(E513)) &amp; "_" &amp; TEXT(F513, "yyyymmdd") &amp; "_" &amp; TEXT(H513, "yyyymmdd")</f>
        <v/>
      </c>
    </row>
    <row r="514">
      <c r="B514" t="inlineStr">
        <is>
          <t>EE2</t>
        </is>
      </c>
      <c r="C514" t="inlineStr">
        <is>
          <t>No</t>
        </is>
      </c>
      <c r="D514" t="inlineStr">
        <is>
          <t>4466956</t>
        </is>
      </c>
      <c r="E514" t="inlineStr">
        <is>
          <t>PHONES - BENEFITS</t>
        </is>
      </c>
      <c r="F514" s="111" t="n">
        <v>45742</v>
      </c>
      <c r="G514" s="111" t="n">
        <v>45744</v>
      </c>
      <c r="H514" s="111" t="n">
        <v>45744</v>
      </c>
      <c r="I514" t="n">
        <v>8</v>
      </c>
      <c r="J514" t="n">
        <v>8</v>
      </c>
      <c r="K514" t="inlineStr">
        <is>
          <t>TR 3</t>
        </is>
      </c>
      <c r="L514" t="inlineStr">
        <is>
          <t>TR 10</t>
        </is>
      </c>
      <c r="M514" t="inlineStr">
        <is>
          <t>--</t>
        </is>
      </c>
      <c r="N514" t="inlineStr">
        <is>
          <t>--</t>
        </is>
      </c>
      <c r="O514" t="inlineStr">
        <is>
          <t>JJH</t>
        </is>
      </c>
      <c r="Q514" s="62">
        <f>IF(C514="Yes", 1, IF(C514="no", 0, IF(C514= "tardy", SUM(J514/I514),"")))</f>
        <v/>
      </c>
      <c r="R514">
        <f>LEFT(Train_Log[[#This Row],[COURSE NAME:]],FIND(" - ", Train_Log[[#This Row],[COURSE NAME:]]) -1)</f>
        <v/>
      </c>
      <c r="S514">
        <f>MID(Train_Log[[#This Row],[COURSE NAME:]],FIND(" - ", Train_Log[[#This Row],[COURSE NAME:]]), 13)</f>
        <v/>
      </c>
      <c r="T514">
        <f>MID(E514, FIND(" - ", E514) + 3, LEN(E514)) &amp; "_" &amp; TEXT(F514, "yyyymmdd") &amp; "_" &amp; TEXT(H514, "yyyymmdd")</f>
        <v/>
      </c>
    </row>
    <row r="515">
      <c r="B515" t="inlineStr">
        <is>
          <t>EE45</t>
        </is>
      </c>
      <c r="C515" t="inlineStr">
        <is>
          <t>No</t>
        </is>
      </c>
      <c r="D515" t="inlineStr">
        <is>
          <t>5505668</t>
        </is>
      </c>
      <c r="E515" t="inlineStr">
        <is>
          <t>PHONES - LWOP</t>
        </is>
      </c>
      <c r="F515" s="111" t="n">
        <v>45405</v>
      </c>
      <c r="G515" s="111" t="n">
        <v>45406</v>
      </c>
      <c r="H515" s="111" t="n">
        <v>45406</v>
      </c>
      <c r="I515" t="n">
        <v>8</v>
      </c>
      <c r="J515" t="n">
        <v>8</v>
      </c>
      <c r="K515" t="inlineStr">
        <is>
          <t>TR 6</t>
        </is>
      </c>
      <c r="L515" t="inlineStr">
        <is>
          <t>TR 9</t>
        </is>
      </c>
      <c r="M515" t="inlineStr">
        <is>
          <t>--</t>
        </is>
      </c>
      <c r="N515" t="inlineStr">
        <is>
          <t>--</t>
        </is>
      </c>
      <c r="O515" t="inlineStr">
        <is>
          <t>JJH</t>
        </is>
      </c>
      <c r="Q515" s="62">
        <f>IF(C515="Yes", 1, IF(C515="no", 0, IF(C515= "tardy", SUM(J515/I515),"")))</f>
        <v/>
      </c>
      <c r="R515">
        <f>LEFT(Train_Log[[#This Row],[COURSE NAME:]],FIND(" - ", Train_Log[[#This Row],[COURSE NAME:]]) -1)</f>
        <v/>
      </c>
      <c r="S515">
        <f>MID(Train_Log[[#This Row],[COURSE NAME:]],FIND(" - ", Train_Log[[#This Row],[COURSE NAME:]]), 13)</f>
        <v/>
      </c>
      <c r="T515">
        <f>MID(E515, FIND(" - ", E515) + 3, LEN(E515)) &amp; "_" &amp; TEXT(F515, "yyyymmdd") &amp; "_" &amp; TEXT(H515, "yyyymmdd")</f>
        <v/>
      </c>
    </row>
    <row r="516">
      <c r="B516" t="inlineStr">
        <is>
          <t>EE99</t>
        </is>
      </c>
      <c r="C516" t="inlineStr">
        <is>
          <t>No</t>
        </is>
      </c>
      <c r="D516" t="inlineStr">
        <is>
          <t>6871480</t>
        </is>
      </c>
      <c r="E516" t="inlineStr">
        <is>
          <t>LWOP - HCES SU FACILITATION TRAINING</t>
        </is>
      </c>
      <c r="F516" s="111" t="n">
        <v>45553</v>
      </c>
      <c r="G516" s="111" t="n">
        <v>45553</v>
      </c>
      <c r="H516" s="111" t="n">
        <v>45553</v>
      </c>
      <c r="I516" t="n">
        <v>3</v>
      </c>
      <c r="J516" t="n">
        <v>3</v>
      </c>
      <c r="K516" t="inlineStr">
        <is>
          <t>TR 5</t>
        </is>
      </c>
      <c r="L516" t="inlineStr">
        <is>
          <t>TR 8</t>
        </is>
      </c>
      <c r="M516" t="inlineStr">
        <is>
          <t>--</t>
        </is>
      </c>
      <c r="N516" t="inlineStr">
        <is>
          <t>--</t>
        </is>
      </c>
      <c r="O516" t="inlineStr">
        <is>
          <t>JJH</t>
        </is>
      </c>
      <c r="Q516" s="62">
        <f>IF(C516="Yes", 1, IF(C516="no", 0, IF(C516= "tardy", SUM(J516/I516),"")))</f>
        <v/>
      </c>
      <c r="R516">
        <f>LEFT(Train_Log[[#This Row],[COURSE NAME:]],FIND(" - ", Train_Log[[#This Row],[COURSE NAME:]]) -1)</f>
        <v/>
      </c>
      <c r="S516">
        <f>MID(Train_Log[[#This Row],[COURSE NAME:]],FIND(" - ", Train_Log[[#This Row],[COURSE NAME:]]), 13)</f>
        <v/>
      </c>
      <c r="T516">
        <f>MID(E516, FIND(" - ", E516) + 3, LEN(E516)) &amp; "_" &amp; TEXT(F516, "yyyymmdd") &amp; "_" &amp; TEXT(H516, "yyyymmdd")</f>
        <v/>
      </c>
    </row>
    <row r="517">
      <c r="B517" t="inlineStr">
        <is>
          <t>EE35</t>
        </is>
      </c>
      <c r="C517" t="inlineStr">
        <is>
          <t>No</t>
        </is>
      </c>
      <c r="D517" t="inlineStr">
        <is>
          <t>5772573</t>
        </is>
      </c>
      <c r="E517" t="inlineStr">
        <is>
          <t>PHONES - LWOP</t>
        </is>
      </c>
      <c r="F517" s="111" t="n">
        <v>45721</v>
      </c>
      <c r="G517" s="111" t="n">
        <v>45723</v>
      </c>
      <c r="H517" s="111" t="n">
        <v>45723</v>
      </c>
      <c r="I517" t="n">
        <v>8</v>
      </c>
      <c r="J517" t="n">
        <v>8</v>
      </c>
      <c r="K517" t="inlineStr">
        <is>
          <t>TR 5</t>
        </is>
      </c>
      <c r="L517" t="inlineStr">
        <is>
          <t>TR 9</t>
        </is>
      </c>
      <c r="M517" t="inlineStr">
        <is>
          <t>--</t>
        </is>
      </c>
      <c r="N517" t="inlineStr">
        <is>
          <t>--</t>
        </is>
      </c>
      <c r="O517" t="inlineStr">
        <is>
          <t>JJH</t>
        </is>
      </c>
      <c r="Q517" s="62">
        <f>IF(C517="Yes", 1, IF(C517="no", 0, IF(C517= "tardy", SUM(J517/I517),"")))</f>
        <v/>
      </c>
      <c r="R517">
        <f>LEFT(Train_Log[[#This Row],[COURSE NAME:]],FIND(" - ", Train_Log[[#This Row],[COURSE NAME:]]) -1)</f>
        <v/>
      </c>
      <c r="S517">
        <f>MID(Train_Log[[#This Row],[COURSE NAME:]],FIND(" - ", Train_Log[[#This Row],[COURSE NAME:]]), 13)</f>
        <v/>
      </c>
      <c r="T517">
        <f>MID(E517, FIND(" - ", E517) + 3, LEN(E517)) &amp; "_" &amp; TEXT(F517, "yyyymmdd") &amp; "_" &amp; TEXT(H517, "yyyymmdd")</f>
        <v/>
      </c>
    </row>
    <row r="518">
      <c r="B518" t="inlineStr">
        <is>
          <t>EE81</t>
        </is>
      </c>
      <c r="C518" t="inlineStr">
        <is>
          <t>No</t>
        </is>
      </c>
      <c r="D518" t="inlineStr">
        <is>
          <t>5119786</t>
        </is>
      </c>
      <c r="E518" t="inlineStr">
        <is>
          <t>SUPPORT - TRAINING - PTSP TRAINING</t>
        </is>
      </c>
      <c r="F518" s="111" t="n">
        <v>45504</v>
      </c>
      <c r="G518" s="111" t="n">
        <v>45504</v>
      </c>
      <c r="H518" s="111" t="n">
        <v>45504</v>
      </c>
      <c r="I518" t="n">
        <v>3</v>
      </c>
      <c r="J518" t="n">
        <v>3</v>
      </c>
      <c r="K518" t="inlineStr">
        <is>
          <t>TR 6</t>
        </is>
      </c>
      <c r="L518" t="inlineStr">
        <is>
          <t>--</t>
        </is>
      </c>
      <c r="M518" t="inlineStr">
        <is>
          <t>--</t>
        </is>
      </c>
      <c r="N518" t="inlineStr">
        <is>
          <t>--</t>
        </is>
      </c>
      <c r="O518" t="inlineStr">
        <is>
          <t>JJH</t>
        </is>
      </c>
      <c r="Q518" s="62">
        <f>IF(C518="Yes", 1, IF(C518="no", 0, IF(C518= "tardy", SUM(J518/I518),"")))</f>
        <v/>
      </c>
      <c r="R518">
        <f>LEFT(Train_Log[[#This Row],[COURSE NAME:]],FIND(" - ", Train_Log[[#This Row],[COURSE NAME:]]) -1)</f>
        <v/>
      </c>
      <c r="S518">
        <f>MID(Train_Log[[#This Row],[COURSE NAME:]],FIND(" - ", Train_Log[[#This Row],[COURSE NAME:]]), 13)</f>
        <v/>
      </c>
      <c r="T518">
        <f>MID(E518, FIND(" - ", E518) + 3, LEN(E518)) &amp; "_" &amp; TEXT(F518, "yyyymmdd") &amp; "_" &amp; TEXT(H518, "yyyymmdd")</f>
        <v/>
      </c>
    </row>
    <row r="519">
      <c r="B519" t="inlineStr">
        <is>
          <t>EE34</t>
        </is>
      </c>
      <c r="C519" t="inlineStr">
        <is>
          <t>No</t>
        </is>
      </c>
      <c r="D519" t="inlineStr">
        <is>
          <t>6928208</t>
        </is>
      </c>
      <c r="E519" t="inlineStr">
        <is>
          <t>PHONES - LWOP</t>
        </is>
      </c>
      <c r="F519" s="111" t="n">
        <v>45814</v>
      </c>
      <c r="G519" s="111" t="n">
        <v>45816</v>
      </c>
      <c r="H519" s="111" t="n">
        <v>45816</v>
      </c>
      <c r="I519" t="n">
        <v>3</v>
      </c>
      <c r="J519" t="n">
        <v>3</v>
      </c>
      <c r="K519" t="inlineStr">
        <is>
          <t>TR 2</t>
        </is>
      </c>
      <c r="L519" t="inlineStr">
        <is>
          <t>TR 6</t>
        </is>
      </c>
      <c r="M519" t="inlineStr">
        <is>
          <t>--</t>
        </is>
      </c>
      <c r="N519" t="inlineStr">
        <is>
          <t>--</t>
        </is>
      </c>
      <c r="O519" t="inlineStr">
        <is>
          <t>JJH</t>
        </is>
      </c>
      <c r="Q519" s="62">
        <f>IF(C519="Yes", 1, IF(C519="no", 0, IF(C519= "tardy", SUM(J519/I519),"")))</f>
        <v/>
      </c>
      <c r="R519">
        <f>LEFT(Train_Log[[#This Row],[COURSE NAME:]],FIND(" - ", Train_Log[[#This Row],[COURSE NAME:]]) -1)</f>
        <v/>
      </c>
      <c r="S519">
        <f>MID(Train_Log[[#This Row],[COURSE NAME:]],FIND(" - ", Train_Log[[#This Row],[COURSE NAME:]]), 13)</f>
        <v/>
      </c>
      <c r="T519">
        <f>MID(E519, FIND(" - ", E519) + 3, LEN(E519)) &amp; "_" &amp; TEXT(F519, "yyyymmdd") &amp; "_" &amp; TEXT(H519, "yyyymmdd")</f>
        <v/>
      </c>
    </row>
    <row r="520">
      <c r="B520" t="inlineStr">
        <is>
          <t>EE144</t>
        </is>
      </c>
      <c r="C520" t="inlineStr">
        <is>
          <t>No</t>
        </is>
      </c>
      <c r="D520" t="inlineStr">
        <is>
          <t>5600627</t>
        </is>
      </c>
      <c r="E520" t="inlineStr">
        <is>
          <t>OPTIONAL RETIREMENTS - MAILBUILD</t>
        </is>
      </c>
      <c r="F520" s="111" t="n">
        <v>45726</v>
      </c>
      <c r="G520" s="111" t="n">
        <v>45730</v>
      </c>
      <c r="H520" s="111" t="n">
        <v>45730</v>
      </c>
      <c r="I520" t="n">
        <v>8</v>
      </c>
      <c r="J520" t="n">
        <v>8</v>
      </c>
      <c r="K520" t="inlineStr">
        <is>
          <t>TR 5</t>
        </is>
      </c>
      <c r="L520" t="inlineStr">
        <is>
          <t>TR 7</t>
        </is>
      </c>
      <c r="M520" t="inlineStr">
        <is>
          <t>--</t>
        </is>
      </c>
      <c r="N520" t="inlineStr">
        <is>
          <t>--</t>
        </is>
      </c>
      <c r="O520" t="inlineStr">
        <is>
          <t>JJH</t>
        </is>
      </c>
      <c r="Q520" s="62">
        <f>IF(C520="Yes", 1, IF(C520="no", 0, IF(C520= "tardy", SUM(J520/I520),"")))</f>
        <v/>
      </c>
      <c r="R520">
        <f>LEFT(Train_Log[[#This Row],[COURSE NAME:]],FIND(" - ", Train_Log[[#This Row],[COURSE NAME:]]) -1)</f>
        <v/>
      </c>
      <c r="S520">
        <f>MID(Train_Log[[#This Row],[COURSE NAME:]],FIND(" - ", Train_Log[[#This Row],[COURSE NAME:]]), 13)</f>
        <v/>
      </c>
      <c r="T520">
        <f>MID(E520, FIND(" - ", E520) + 3, LEN(E520)) &amp; "_" &amp; TEXT(F520, "yyyymmdd") &amp; "_" &amp; TEXT(H520, "yyyymmdd")</f>
        <v/>
      </c>
    </row>
    <row r="521">
      <c r="B521" t="inlineStr">
        <is>
          <t>EE4</t>
        </is>
      </c>
      <c r="C521" t="inlineStr">
        <is>
          <t>No</t>
        </is>
      </c>
      <c r="D521" t="inlineStr">
        <is>
          <t>5153556</t>
        </is>
      </c>
      <c r="E521" t="inlineStr">
        <is>
          <t>PHONES - EMPLOYMENT VERIFICATION</t>
        </is>
      </c>
      <c r="F521" s="111" t="n">
        <v>45324</v>
      </c>
      <c r="G521" s="111" t="n">
        <v>45325</v>
      </c>
      <c r="H521" s="111" t="n">
        <v>45325</v>
      </c>
      <c r="I521" t="n">
        <v>2</v>
      </c>
      <c r="J521" t="n">
        <v>2</v>
      </c>
      <c r="K521" t="inlineStr">
        <is>
          <t>TR 4</t>
        </is>
      </c>
      <c r="L521" t="inlineStr">
        <is>
          <t>TR 5</t>
        </is>
      </c>
      <c r="M521" t="inlineStr">
        <is>
          <t>--</t>
        </is>
      </c>
      <c r="N521" t="inlineStr">
        <is>
          <t>--</t>
        </is>
      </c>
      <c r="O521" t="inlineStr">
        <is>
          <t>JJH</t>
        </is>
      </c>
      <c r="Q521" s="62">
        <f>IF(C521="Yes", 1, IF(C521="no", 0, IF(C521= "tardy", SUM(J521/I521),"")))</f>
        <v/>
      </c>
      <c r="R521">
        <f>LEFT(Train_Log[[#This Row],[COURSE NAME:]],FIND(" - ", Train_Log[[#This Row],[COURSE NAME:]]) -1)</f>
        <v/>
      </c>
      <c r="S521">
        <f>MID(Train_Log[[#This Row],[COURSE NAME:]],FIND(" - ", Train_Log[[#This Row],[COURSE NAME:]]), 13)</f>
        <v/>
      </c>
      <c r="T521">
        <f>MID(E521, FIND(" - ", E521) + 3, LEN(E521)) &amp; "_" &amp; TEXT(F521, "yyyymmdd") &amp; "_" &amp; TEXT(H521, "yyyymmdd")</f>
        <v/>
      </c>
    </row>
    <row r="522">
      <c r="B522" t="inlineStr">
        <is>
          <t>EE42</t>
        </is>
      </c>
      <c r="C522" t="inlineStr">
        <is>
          <t>No</t>
        </is>
      </c>
      <c r="D522" t="inlineStr">
        <is>
          <t>4389004</t>
        </is>
      </c>
      <c r="E522" t="inlineStr">
        <is>
          <t>RTR - EFORM SEPARATIONS TRAINING</t>
        </is>
      </c>
      <c r="F522" s="111" t="n">
        <v>45555</v>
      </c>
      <c r="G522" s="111" t="n">
        <v>45555</v>
      </c>
      <c r="H522" s="111" t="n">
        <v>45555</v>
      </c>
      <c r="I522" t="n">
        <v>3</v>
      </c>
      <c r="J522" t="n">
        <v>3</v>
      </c>
      <c r="K522" t="inlineStr">
        <is>
          <t>TR 4</t>
        </is>
      </c>
      <c r="L522" t="inlineStr">
        <is>
          <t>TR 9</t>
        </is>
      </c>
      <c r="M522" t="inlineStr">
        <is>
          <t>--</t>
        </is>
      </c>
      <c r="N522" t="inlineStr">
        <is>
          <t>--</t>
        </is>
      </c>
      <c r="O522" t="inlineStr">
        <is>
          <t>JJH</t>
        </is>
      </c>
      <c r="Q522" s="62">
        <f>IF(C522="Yes", 1, IF(C522="no", 0, IF(C522= "tardy", SUM(J522/I522),"")))</f>
        <v/>
      </c>
      <c r="R522">
        <f>LEFT(Train_Log[[#This Row],[COURSE NAME:]],FIND(" - ", Train_Log[[#This Row],[COURSE NAME:]]) -1)</f>
        <v/>
      </c>
      <c r="S522">
        <f>MID(Train_Log[[#This Row],[COURSE NAME:]],FIND(" - ", Train_Log[[#This Row],[COURSE NAME:]]), 13)</f>
        <v/>
      </c>
      <c r="T522">
        <f>MID(E522, FIND(" - ", E522) + 3, LEN(E522)) &amp; "_" &amp; TEXT(F522, "yyyymmdd") &amp; "_" &amp; TEXT(H522, "yyyymmdd")</f>
        <v/>
      </c>
    </row>
    <row r="523">
      <c r="B523" t="inlineStr">
        <is>
          <t>EE9</t>
        </is>
      </c>
      <c r="C523" t="inlineStr">
        <is>
          <t>No</t>
        </is>
      </c>
      <c r="D523" t="inlineStr">
        <is>
          <t>6838283</t>
        </is>
      </c>
      <c r="E523" t="inlineStr">
        <is>
          <t>LWOP - HCES SUPERUSER TRAINING</t>
        </is>
      </c>
      <c r="F523" s="111" t="n">
        <v>45762</v>
      </c>
      <c r="G523" s="111" t="n">
        <v>45762</v>
      </c>
      <c r="H523" s="111" t="n">
        <v>45762</v>
      </c>
      <c r="I523" t="n">
        <v>8</v>
      </c>
      <c r="J523" t="n">
        <v>8</v>
      </c>
      <c r="K523" t="inlineStr">
        <is>
          <t>TR 4</t>
        </is>
      </c>
      <c r="L523" t="inlineStr">
        <is>
          <t>--</t>
        </is>
      </c>
      <c r="M523" t="inlineStr">
        <is>
          <t>--</t>
        </is>
      </c>
      <c r="N523" t="inlineStr">
        <is>
          <t>--</t>
        </is>
      </c>
      <c r="O523" t="inlineStr">
        <is>
          <t>JJH</t>
        </is>
      </c>
      <c r="Q523" s="62">
        <f>IF(C523="Yes", 1, IF(C523="no", 0, IF(C523= "tardy", SUM(J523/I523),"")))</f>
        <v/>
      </c>
      <c r="R523">
        <f>LEFT(Train_Log[[#This Row],[COURSE NAME:]],FIND(" - ", Train_Log[[#This Row],[COURSE NAME:]]) -1)</f>
        <v/>
      </c>
      <c r="S523">
        <f>MID(Train_Log[[#This Row],[COURSE NAME:]],FIND(" - ", Train_Log[[#This Row],[COURSE NAME:]]), 13)</f>
        <v/>
      </c>
      <c r="T523">
        <f>MID(E523, FIND(" - ", E523) + 3, LEN(E523)) &amp; "_" &amp; TEXT(F523, "yyyymmdd") &amp; "_" &amp; TEXT(H523, "yyyymmdd")</f>
        <v/>
      </c>
    </row>
    <row r="524">
      <c r="B524" t="inlineStr">
        <is>
          <t>EE144</t>
        </is>
      </c>
      <c r="C524" t="inlineStr">
        <is>
          <t>No</t>
        </is>
      </c>
      <c r="D524" t="inlineStr">
        <is>
          <t>5600627</t>
        </is>
      </c>
      <c r="E524" t="inlineStr">
        <is>
          <t>LWOP - HCES SU FACILITATION TRAINING</t>
        </is>
      </c>
      <c r="F524" s="111" t="n">
        <v>45542</v>
      </c>
      <c r="G524" s="111" t="n">
        <v>45544</v>
      </c>
      <c r="H524" s="111" t="n">
        <v>45544</v>
      </c>
      <c r="I524" t="n">
        <v>3</v>
      </c>
      <c r="J524" t="n">
        <v>3</v>
      </c>
      <c r="K524" t="inlineStr">
        <is>
          <t>TR 1</t>
        </is>
      </c>
      <c r="L524" t="inlineStr">
        <is>
          <t>TR 7</t>
        </is>
      </c>
      <c r="M524" t="inlineStr">
        <is>
          <t>--</t>
        </is>
      </c>
      <c r="N524" t="inlineStr">
        <is>
          <t>--</t>
        </is>
      </c>
      <c r="O524" t="inlineStr">
        <is>
          <t>JJH</t>
        </is>
      </c>
      <c r="Q524" s="62">
        <f>IF(C524="Yes", 1, IF(C524="no", 0, IF(C524= "tardy", SUM(J524/I524),"")))</f>
        <v/>
      </c>
      <c r="R524">
        <f>LEFT(Train_Log[[#This Row],[COURSE NAME:]],FIND(" - ", Train_Log[[#This Row],[COURSE NAME:]]) -1)</f>
        <v/>
      </c>
      <c r="S524">
        <f>MID(Train_Log[[#This Row],[COURSE NAME:]],FIND(" - ", Train_Log[[#This Row],[COURSE NAME:]]), 13)</f>
        <v/>
      </c>
      <c r="T524">
        <f>MID(E524, FIND(" - ", E524) + 3, LEN(E524)) &amp; "_" &amp; TEXT(F524, "yyyymmdd") &amp; "_" &amp; TEXT(H524, "yyyymmdd")</f>
        <v/>
      </c>
    </row>
    <row r="525">
      <c r="B525" t="inlineStr">
        <is>
          <t>EE100</t>
        </is>
      </c>
      <c r="C525" t="inlineStr">
        <is>
          <t>tardy</t>
        </is>
      </c>
      <c r="D525" t="inlineStr">
        <is>
          <t>5360140</t>
        </is>
      </c>
      <c r="E525" t="inlineStr">
        <is>
          <t>LWOP - HCES SU FACILITATION TRAINING</t>
        </is>
      </c>
      <c r="F525" s="111" t="n">
        <v>45619</v>
      </c>
      <c r="G525" s="111" t="n">
        <v>45621</v>
      </c>
      <c r="H525" s="111" t="n">
        <v>45621</v>
      </c>
      <c r="I525" t="n">
        <v>3</v>
      </c>
      <c r="J525" t="n">
        <v>1.74</v>
      </c>
      <c r="K525" t="inlineStr">
        <is>
          <t>TR 8</t>
        </is>
      </c>
      <c r="L525" t="inlineStr">
        <is>
          <t>TR 4</t>
        </is>
      </c>
      <c r="M525" t="inlineStr">
        <is>
          <t>--</t>
        </is>
      </c>
      <c r="N525" t="inlineStr">
        <is>
          <t>--</t>
        </is>
      </c>
      <c r="O525" t="inlineStr">
        <is>
          <t>JJH</t>
        </is>
      </c>
      <c r="Q525" s="62">
        <f>IF(C525="Yes", 1, IF(C525="no", 0, IF(C525= "tardy", SUM(J525/I525),"")))</f>
        <v/>
      </c>
      <c r="R525">
        <f>LEFT(Train_Log[[#This Row],[COURSE NAME:]],FIND(" - ", Train_Log[[#This Row],[COURSE NAME:]]) -1)</f>
        <v/>
      </c>
      <c r="S525">
        <f>MID(Train_Log[[#This Row],[COURSE NAME:]],FIND(" - ", Train_Log[[#This Row],[COURSE NAME:]]), 13)</f>
        <v/>
      </c>
      <c r="T525">
        <f>MID(E525, FIND(" - ", E525) + 3, LEN(E525)) &amp; "_" &amp; TEXT(F525, "yyyymmdd") &amp; "_" &amp; TEXT(H525, "yyyymmdd")</f>
        <v/>
      </c>
    </row>
    <row r="526">
      <c r="B526" t="inlineStr">
        <is>
          <t>EE163</t>
        </is>
      </c>
      <c r="C526" t="inlineStr">
        <is>
          <t>No</t>
        </is>
      </c>
      <c r="D526" t="inlineStr">
        <is>
          <t>4013611</t>
        </is>
      </c>
      <c r="E526" t="inlineStr">
        <is>
          <t>LWOP - HCES SUPERUSER TRAINING</t>
        </is>
      </c>
      <c r="F526" s="111" t="n">
        <v>45500</v>
      </c>
      <c r="G526" s="111" t="n">
        <v>45504</v>
      </c>
      <c r="H526" s="111" t="n">
        <v>45504</v>
      </c>
      <c r="I526" t="n">
        <v>3</v>
      </c>
      <c r="J526" t="n">
        <v>3</v>
      </c>
      <c r="K526" t="inlineStr">
        <is>
          <t>TR 8</t>
        </is>
      </c>
      <c r="L526" t="inlineStr">
        <is>
          <t>TR 3</t>
        </is>
      </c>
      <c r="M526" t="inlineStr">
        <is>
          <t>--</t>
        </is>
      </c>
      <c r="N526" t="inlineStr">
        <is>
          <t>--</t>
        </is>
      </c>
      <c r="O526" t="inlineStr">
        <is>
          <t>JJH</t>
        </is>
      </c>
      <c r="Q526" s="62">
        <f>IF(C526="Yes", 1, IF(C526="no", 0, IF(C526= "tardy", SUM(J526/I526),"")))</f>
        <v/>
      </c>
      <c r="R526">
        <f>LEFT(Train_Log[[#This Row],[COURSE NAME:]],FIND(" - ", Train_Log[[#This Row],[COURSE NAME:]]) -1)</f>
        <v/>
      </c>
      <c r="S526">
        <f>MID(Train_Log[[#This Row],[COURSE NAME:]],FIND(" - ", Train_Log[[#This Row],[COURSE NAME:]]), 13)</f>
        <v/>
      </c>
      <c r="T526">
        <f>MID(E526, FIND(" - ", E526) + 3, LEN(E526)) &amp; "_" &amp; TEXT(F526, "yyyymmdd") &amp; "_" &amp; TEXT(H526, "yyyymmdd")</f>
        <v/>
      </c>
    </row>
    <row r="527">
      <c r="B527" t="inlineStr">
        <is>
          <t>EE175</t>
        </is>
      </c>
      <c r="C527" t="inlineStr">
        <is>
          <t>No</t>
        </is>
      </c>
      <c r="D527" t="inlineStr">
        <is>
          <t>4641054</t>
        </is>
      </c>
      <c r="E527" t="inlineStr">
        <is>
          <t>PHONES - EMPLOYMENT VERIFICATION</t>
        </is>
      </c>
      <c r="F527" s="111" t="n">
        <v>45490</v>
      </c>
      <c r="G527" s="111" t="n">
        <v>45490</v>
      </c>
      <c r="H527" s="111" t="n">
        <v>45490</v>
      </c>
      <c r="I527" t="n">
        <v>2</v>
      </c>
      <c r="J527" t="n">
        <v>2</v>
      </c>
      <c r="K527" t="inlineStr">
        <is>
          <t>TR 7</t>
        </is>
      </c>
      <c r="L527" t="inlineStr">
        <is>
          <t>TR 1</t>
        </is>
      </c>
      <c r="M527" t="inlineStr">
        <is>
          <t>--</t>
        </is>
      </c>
      <c r="N527" t="inlineStr">
        <is>
          <t>--</t>
        </is>
      </c>
      <c r="O527" t="inlineStr">
        <is>
          <t>JJH</t>
        </is>
      </c>
      <c r="Q527" s="62">
        <f>IF(C527="Yes", 1, IF(C527="no", 0, IF(C527= "tardy", SUM(J527/I527),"")))</f>
        <v/>
      </c>
      <c r="R527">
        <f>LEFT(Train_Log[[#This Row],[COURSE NAME:]],FIND(" - ", Train_Log[[#This Row],[COURSE NAME:]]) -1)</f>
        <v/>
      </c>
      <c r="S527">
        <f>MID(Train_Log[[#This Row],[COURSE NAME:]],FIND(" - ", Train_Log[[#This Row],[COURSE NAME:]]), 13)</f>
        <v/>
      </c>
      <c r="T527">
        <f>MID(E527, FIND(" - ", E527) + 3, LEN(E527)) &amp; "_" &amp; TEXT(F527, "yyyymmdd") &amp; "_" &amp; TEXT(H527, "yyyymmdd")</f>
        <v/>
      </c>
    </row>
    <row r="528">
      <c r="B528" t="inlineStr">
        <is>
          <t>EE110</t>
        </is>
      </c>
      <c r="C528" t="inlineStr">
        <is>
          <t>No</t>
        </is>
      </c>
      <c r="D528" t="inlineStr">
        <is>
          <t>5319854</t>
        </is>
      </c>
      <c r="E528" t="inlineStr">
        <is>
          <t>RTR - EFORM SEPARATIONS TRAINING</t>
        </is>
      </c>
      <c r="F528" s="111" t="n">
        <v>45569</v>
      </c>
      <c r="G528" s="111" t="n">
        <v>45569</v>
      </c>
      <c r="H528" s="111" t="n">
        <v>45569</v>
      </c>
      <c r="I528" t="n">
        <v>3</v>
      </c>
      <c r="J528" t="n">
        <v>3</v>
      </c>
      <c r="K528" t="inlineStr">
        <is>
          <t>TR 1</t>
        </is>
      </c>
      <c r="L528" t="inlineStr">
        <is>
          <t>TR 6</t>
        </is>
      </c>
      <c r="M528" t="inlineStr">
        <is>
          <t>--</t>
        </is>
      </c>
      <c r="N528" t="inlineStr">
        <is>
          <t>--</t>
        </is>
      </c>
      <c r="O528" t="inlineStr">
        <is>
          <t>JJH</t>
        </is>
      </c>
      <c r="Q528" s="62">
        <f>IF(C528="Yes", 1, IF(C528="no", 0, IF(C528= "tardy", SUM(J528/I528),"")))</f>
        <v/>
      </c>
      <c r="R528">
        <f>LEFT(Train_Log[[#This Row],[COURSE NAME:]],FIND(" - ", Train_Log[[#This Row],[COURSE NAME:]]) -1)</f>
        <v/>
      </c>
      <c r="S528">
        <f>MID(Train_Log[[#This Row],[COURSE NAME:]],FIND(" - ", Train_Log[[#This Row],[COURSE NAME:]]), 13)</f>
        <v/>
      </c>
      <c r="T528">
        <f>MID(E528, FIND(" - ", E528) + 3, LEN(E528)) &amp; "_" &amp; TEXT(F528, "yyyymmdd") &amp; "_" &amp; TEXT(H528, "yyyymmdd")</f>
        <v/>
      </c>
    </row>
    <row r="529">
      <c r="B529" t="inlineStr">
        <is>
          <t>EE120</t>
        </is>
      </c>
      <c r="C529" t="inlineStr">
        <is>
          <t>No</t>
        </is>
      </c>
      <c r="D529" t="inlineStr">
        <is>
          <t>5034430</t>
        </is>
      </c>
      <c r="E529" t="inlineStr">
        <is>
          <t>PHONES - LWOP</t>
        </is>
      </c>
      <c r="F529" s="111" t="n">
        <v>45339</v>
      </c>
      <c r="G529" s="111" t="n">
        <v>45339</v>
      </c>
      <c r="H529" s="111" t="n">
        <v>45339</v>
      </c>
      <c r="I529" t="n">
        <v>8</v>
      </c>
      <c r="J529" t="n">
        <v>8</v>
      </c>
      <c r="K529" t="inlineStr">
        <is>
          <t>TR 1</t>
        </is>
      </c>
      <c r="L529" t="inlineStr">
        <is>
          <t>--</t>
        </is>
      </c>
      <c r="M529" t="inlineStr">
        <is>
          <t>--</t>
        </is>
      </c>
      <c r="N529" t="inlineStr">
        <is>
          <t>--</t>
        </is>
      </c>
      <c r="O529" t="inlineStr">
        <is>
          <t>JJH</t>
        </is>
      </c>
      <c r="Q529" s="62">
        <f>IF(C529="Yes", 1, IF(C529="no", 0, IF(C529= "tardy", SUM(J529/I529),"")))</f>
        <v/>
      </c>
      <c r="R529">
        <f>LEFT(Train_Log[[#This Row],[COURSE NAME:]],FIND(" - ", Train_Log[[#This Row],[COURSE NAME:]]) -1)</f>
        <v/>
      </c>
      <c r="S529">
        <f>MID(Train_Log[[#This Row],[COURSE NAME:]],FIND(" - ", Train_Log[[#This Row],[COURSE NAME:]]), 13)</f>
        <v/>
      </c>
      <c r="T529">
        <f>MID(E529, FIND(" - ", E529) + 3, LEN(E529)) &amp; "_" &amp; TEXT(F529, "yyyymmdd") &amp; "_" &amp; TEXT(H529, "yyyymmdd")</f>
        <v/>
      </c>
    </row>
    <row r="530">
      <c r="B530" t="inlineStr">
        <is>
          <t>EE158</t>
        </is>
      </c>
      <c r="C530" t="inlineStr">
        <is>
          <t>No</t>
        </is>
      </c>
      <c r="D530" t="inlineStr">
        <is>
          <t>4467883</t>
        </is>
      </c>
      <c r="E530" t="inlineStr">
        <is>
          <t>RTR - EFORM SEPARATIONS TRAINING</t>
        </is>
      </c>
      <c r="F530" s="111" t="n">
        <v>45801</v>
      </c>
      <c r="G530" s="111" t="n">
        <v>45803</v>
      </c>
      <c r="H530" s="111" t="n">
        <v>45803</v>
      </c>
      <c r="I530" t="n">
        <v>2</v>
      </c>
      <c r="J530" t="n">
        <v>2</v>
      </c>
      <c r="K530" t="inlineStr">
        <is>
          <t>TR 6</t>
        </is>
      </c>
      <c r="L530" t="inlineStr">
        <is>
          <t>TR 9</t>
        </is>
      </c>
      <c r="M530" t="inlineStr">
        <is>
          <t>--</t>
        </is>
      </c>
      <c r="N530" t="inlineStr">
        <is>
          <t>--</t>
        </is>
      </c>
      <c r="O530" t="inlineStr">
        <is>
          <t>JJH</t>
        </is>
      </c>
      <c r="Q530" s="62">
        <f>IF(C530="Yes", 1, IF(C530="no", 0, IF(C530= "tardy", SUM(J530/I530),"")))</f>
        <v/>
      </c>
      <c r="R530">
        <f>LEFT(Train_Log[[#This Row],[COURSE NAME:]],FIND(" - ", Train_Log[[#This Row],[COURSE NAME:]]) -1)</f>
        <v/>
      </c>
      <c r="S530">
        <f>MID(Train_Log[[#This Row],[COURSE NAME:]],FIND(" - ", Train_Log[[#This Row],[COURSE NAME:]]), 13)</f>
        <v/>
      </c>
      <c r="T530">
        <f>MID(E530, FIND(" - ", E530) + 3, LEN(E530)) &amp; "_" &amp; TEXT(F530, "yyyymmdd") &amp; "_" &amp; TEXT(H530, "yyyymmdd")</f>
        <v/>
      </c>
    </row>
    <row r="531">
      <c r="B531" t="inlineStr">
        <is>
          <t>EE57</t>
        </is>
      </c>
      <c r="C531" t="inlineStr">
        <is>
          <t>No</t>
        </is>
      </c>
      <c r="D531" t="inlineStr">
        <is>
          <t>6636706</t>
        </is>
      </c>
      <c r="E531" t="inlineStr">
        <is>
          <t>PHONES - LWOP</t>
        </is>
      </c>
      <c r="F531" s="111" t="n">
        <v>45368</v>
      </c>
      <c r="G531" s="111" t="n">
        <v>45370</v>
      </c>
      <c r="H531" s="111" t="n">
        <v>45370</v>
      </c>
      <c r="I531" t="n">
        <v>8</v>
      </c>
      <c r="J531" t="n">
        <v>8</v>
      </c>
      <c r="K531" t="inlineStr">
        <is>
          <t>TR 9</t>
        </is>
      </c>
      <c r="L531" t="inlineStr">
        <is>
          <t>TR 7</t>
        </is>
      </c>
      <c r="M531" t="inlineStr">
        <is>
          <t>--</t>
        </is>
      </c>
      <c r="N531" t="inlineStr">
        <is>
          <t>--</t>
        </is>
      </c>
      <c r="O531" t="inlineStr">
        <is>
          <t>JJH</t>
        </is>
      </c>
      <c r="Q531" s="62">
        <f>IF(C531="Yes", 1, IF(C531="no", 0, IF(C531= "tardy", SUM(J531/I531),"")))</f>
        <v/>
      </c>
      <c r="R531">
        <f>LEFT(Train_Log[[#This Row],[COURSE NAME:]],FIND(" - ", Train_Log[[#This Row],[COURSE NAME:]]) -1)</f>
        <v/>
      </c>
      <c r="S531">
        <f>MID(Train_Log[[#This Row],[COURSE NAME:]],FIND(" - ", Train_Log[[#This Row],[COURSE NAME:]]), 13)</f>
        <v/>
      </c>
      <c r="T531">
        <f>MID(E531, FIND(" - ", E531) + 3, LEN(E531)) &amp; "_" &amp; TEXT(F531, "yyyymmdd") &amp; "_" &amp; TEXT(H531, "yyyymmdd")</f>
        <v/>
      </c>
    </row>
    <row r="532">
      <c r="B532" t="inlineStr">
        <is>
          <t>EE24</t>
        </is>
      </c>
      <c r="C532" t="inlineStr">
        <is>
          <t>No</t>
        </is>
      </c>
      <c r="D532" t="inlineStr">
        <is>
          <t>6725812</t>
        </is>
      </c>
      <c r="E532" t="inlineStr">
        <is>
          <t>LWOP - HCES SUPERUSER TRAINING</t>
        </is>
      </c>
      <c r="F532" s="111" t="n">
        <v>45525</v>
      </c>
      <c r="G532" s="111" t="n">
        <v>45525</v>
      </c>
      <c r="H532" s="111" t="n">
        <v>45525</v>
      </c>
      <c r="I532" t="n">
        <v>3</v>
      </c>
      <c r="J532" t="n">
        <v>3</v>
      </c>
      <c r="K532" t="inlineStr">
        <is>
          <t>TR 6</t>
        </is>
      </c>
      <c r="L532" t="inlineStr">
        <is>
          <t>TR 5</t>
        </is>
      </c>
      <c r="M532" t="inlineStr">
        <is>
          <t>--</t>
        </is>
      </c>
      <c r="N532" t="inlineStr">
        <is>
          <t>--</t>
        </is>
      </c>
      <c r="O532" t="inlineStr">
        <is>
          <t>JJH</t>
        </is>
      </c>
      <c r="Q532" s="62">
        <f>IF(C532="Yes", 1, IF(C532="no", 0, IF(C532= "tardy", SUM(J532/I532),"")))</f>
        <v/>
      </c>
      <c r="R532">
        <f>LEFT(Train_Log[[#This Row],[COURSE NAME:]],FIND(" - ", Train_Log[[#This Row],[COURSE NAME:]]) -1)</f>
        <v/>
      </c>
      <c r="S532">
        <f>MID(Train_Log[[#This Row],[COURSE NAME:]],FIND(" - ", Train_Log[[#This Row],[COURSE NAME:]]), 13)</f>
        <v/>
      </c>
      <c r="T532">
        <f>MID(E532, FIND(" - ", E532) + 3, LEN(E532)) &amp; "_" &amp; TEXT(F532, "yyyymmdd") &amp; "_" &amp; TEXT(H532, "yyyymmdd")</f>
        <v/>
      </c>
    </row>
    <row r="533">
      <c r="B533" t="inlineStr">
        <is>
          <t>EE56</t>
        </is>
      </c>
      <c r="C533" t="inlineStr">
        <is>
          <t>No</t>
        </is>
      </c>
      <c r="D533" t="inlineStr">
        <is>
          <t>5229678</t>
        </is>
      </c>
      <c r="E533" t="inlineStr">
        <is>
          <t>OPTIONAL RETIREMENTS - MAILBUILD</t>
        </is>
      </c>
      <c r="F533" s="111" t="n">
        <v>45308</v>
      </c>
      <c r="G533" s="111" t="n">
        <v>45308</v>
      </c>
      <c r="H533" s="111" t="n">
        <v>45308</v>
      </c>
      <c r="I533" t="n">
        <v>4</v>
      </c>
      <c r="J533" t="n">
        <v>4</v>
      </c>
      <c r="K533" t="inlineStr">
        <is>
          <t>TR 4</t>
        </is>
      </c>
      <c r="L533" t="inlineStr">
        <is>
          <t>--</t>
        </is>
      </c>
      <c r="M533" t="inlineStr">
        <is>
          <t>--</t>
        </is>
      </c>
      <c r="N533" t="inlineStr">
        <is>
          <t>--</t>
        </is>
      </c>
      <c r="O533" t="inlineStr">
        <is>
          <t>JJH</t>
        </is>
      </c>
      <c r="Q533" s="62">
        <f>IF(C533="Yes", 1, IF(C533="no", 0, IF(C533= "tardy", SUM(J533/I533),"")))</f>
        <v/>
      </c>
      <c r="R533">
        <f>LEFT(Train_Log[[#This Row],[COURSE NAME:]],FIND(" - ", Train_Log[[#This Row],[COURSE NAME:]]) -1)</f>
        <v/>
      </c>
      <c r="S533">
        <f>MID(Train_Log[[#This Row],[COURSE NAME:]],FIND(" - ", Train_Log[[#This Row],[COURSE NAME:]]), 13)</f>
        <v/>
      </c>
      <c r="T533">
        <f>MID(E533, FIND(" - ", E533) + 3, LEN(E533)) &amp; "_" &amp; TEXT(F533, "yyyymmdd") &amp; "_" &amp; TEXT(H533, "yyyymmdd")</f>
        <v/>
      </c>
    </row>
    <row r="534">
      <c r="B534" t="inlineStr">
        <is>
          <t>EE158</t>
        </is>
      </c>
      <c r="C534" t="inlineStr">
        <is>
          <t>No</t>
        </is>
      </c>
      <c r="D534" t="inlineStr">
        <is>
          <t>4467883</t>
        </is>
      </c>
      <c r="E534" t="inlineStr">
        <is>
          <t>SUPPORT - TRAINING - PTSP TRAINING</t>
        </is>
      </c>
      <c r="F534" s="111" t="n">
        <v>45339</v>
      </c>
      <c r="G534" s="111" t="n">
        <v>45343</v>
      </c>
      <c r="H534" s="111" t="n">
        <v>45343</v>
      </c>
      <c r="I534" t="n">
        <v>4</v>
      </c>
      <c r="J534" t="n">
        <v>4</v>
      </c>
      <c r="K534" t="inlineStr">
        <is>
          <t>TR 2</t>
        </is>
      </c>
      <c r="L534" t="inlineStr">
        <is>
          <t>TR 7</t>
        </is>
      </c>
      <c r="M534" t="inlineStr">
        <is>
          <t>--</t>
        </is>
      </c>
      <c r="N534" t="inlineStr">
        <is>
          <t>--</t>
        </is>
      </c>
      <c r="O534" t="inlineStr">
        <is>
          <t>JJH</t>
        </is>
      </c>
      <c r="Q534" s="62">
        <f>IF(C534="Yes", 1, IF(C534="no", 0, IF(C534= "tardy", SUM(J534/I534),"")))</f>
        <v/>
      </c>
      <c r="R534">
        <f>LEFT(Train_Log[[#This Row],[COURSE NAME:]],FIND(" - ", Train_Log[[#This Row],[COURSE NAME:]]) -1)</f>
        <v/>
      </c>
      <c r="S534">
        <f>MID(Train_Log[[#This Row],[COURSE NAME:]],FIND(" - ", Train_Log[[#This Row],[COURSE NAME:]]), 13)</f>
        <v/>
      </c>
      <c r="T534">
        <f>MID(E534, FIND(" - ", E534) + 3, LEN(E534)) &amp; "_" &amp; TEXT(F534, "yyyymmdd") &amp; "_" &amp; TEXT(H534, "yyyymmdd")</f>
        <v/>
      </c>
    </row>
    <row r="535">
      <c r="B535" t="inlineStr">
        <is>
          <t>EE66</t>
        </is>
      </c>
      <c r="C535" t="inlineStr">
        <is>
          <t>No</t>
        </is>
      </c>
      <c r="D535" t="inlineStr">
        <is>
          <t>4955874</t>
        </is>
      </c>
      <c r="E535" t="inlineStr">
        <is>
          <t>RTR - EFORM SEPARATIONS TRAINING</t>
        </is>
      </c>
      <c r="F535" s="111" t="n">
        <v>45324</v>
      </c>
      <c r="G535" s="111" t="n">
        <v>45326</v>
      </c>
      <c r="H535" s="111" t="n">
        <v>45326</v>
      </c>
      <c r="I535" t="n">
        <v>3</v>
      </c>
      <c r="J535" t="n">
        <v>3</v>
      </c>
      <c r="K535" t="inlineStr">
        <is>
          <t>TR 9</t>
        </is>
      </c>
      <c r="L535" t="inlineStr">
        <is>
          <t>TR 9</t>
        </is>
      </c>
      <c r="M535" t="inlineStr">
        <is>
          <t>--</t>
        </is>
      </c>
      <c r="N535" t="inlineStr">
        <is>
          <t>--</t>
        </is>
      </c>
      <c r="O535" t="inlineStr">
        <is>
          <t>JJH</t>
        </is>
      </c>
      <c r="Q535" s="62">
        <f>IF(C535="Yes", 1, IF(C535="no", 0, IF(C535= "tardy", SUM(J535/I535),"")))</f>
        <v/>
      </c>
      <c r="R535">
        <f>LEFT(Train_Log[[#This Row],[COURSE NAME:]],FIND(" - ", Train_Log[[#This Row],[COURSE NAME:]]) -1)</f>
        <v/>
      </c>
      <c r="S535">
        <f>MID(Train_Log[[#This Row],[COURSE NAME:]],FIND(" - ", Train_Log[[#This Row],[COURSE NAME:]]), 13)</f>
        <v/>
      </c>
      <c r="T535">
        <f>MID(E535, FIND(" - ", E535) + 3, LEN(E535)) &amp; "_" &amp; TEXT(F535, "yyyymmdd") &amp; "_" &amp; TEXT(H535, "yyyymmdd")</f>
        <v/>
      </c>
    </row>
    <row r="536">
      <c r="B536" t="inlineStr">
        <is>
          <t>EE115</t>
        </is>
      </c>
      <c r="C536" t="inlineStr">
        <is>
          <t>No</t>
        </is>
      </c>
      <c r="D536" t="inlineStr">
        <is>
          <t>6696316</t>
        </is>
      </c>
      <c r="E536" t="inlineStr">
        <is>
          <t>OPTIONAL RETIREMENTS - MAILBUILD</t>
        </is>
      </c>
      <c r="F536" s="111" t="n">
        <v>45343</v>
      </c>
      <c r="G536" s="111" t="n">
        <v>45343</v>
      </c>
      <c r="H536" s="111" t="n">
        <v>45343</v>
      </c>
      <c r="I536" t="n">
        <v>2</v>
      </c>
      <c r="J536" t="n">
        <v>2</v>
      </c>
      <c r="K536" t="inlineStr">
        <is>
          <t>TR 6</t>
        </is>
      </c>
      <c r="L536" t="inlineStr">
        <is>
          <t>TR 9</t>
        </is>
      </c>
      <c r="M536" t="inlineStr">
        <is>
          <t>--</t>
        </is>
      </c>
      <c r="N536" t="inlineStr">
        <is>
          <t>--</t>
        </is>
      </c>
      <c r="O536" t="inlineStr">
        <is>
          <t>JJH</t>
        </is>
      </c>
      <c r="Q536" s="62">
        <f>IF(C536="Yes", 1, IF(C536="no", 0, IF(C536= "tardy", SUM(J536/I536),"")))</f>
        <v/>
      </c>
      <c r="R536">
        <f>LEFT(Train_Log[[#This Row],[COURSE NAME:]],FIND(" - ", Train_Log[[#This Row],[COURSE NAME:]]) -1)</f>
        <v/>
      </c>
      <c r="S536">
        <f>MID(Train_Log[[#This Row],[COURSE NAME:]],FIND(" - ", Train_Log[[#This Row],[COURSE NAME:]]), 13)</f>
        <v/>
      </c>
      <c r="T536">
        <f>MID(E536, FIND(" - ", E536) + 3, LEN(E536)) &amp; "_" &amp; TEXT(F536, "yyyymmdd") &amp; "_" &amp; TEXT(H536, "yyyymmdd")</f>
        <v/>
      </c>
    </row>
    <row r="537">
      <c r="B537" t="inlineStr">
        <is>
          <t>EE22</t>
        </is>
      </c>
      <c r="C537" t="inlineStr">
        <is>
          <t>No</t>
        </is>
      </c>
      <c r="D537" t="inlineStr">
        <is>
          <t>6354032</t>
        </is>
      </c>
      <c r="E537" t="inlineStr">
        <is>
          <t>PHONES - EMPLOYMENT VERIFICATION</t>
        </is>
      </c>
      <c r="F537" s="111" t="n">
        <v>45470</v>
      </c>
      <c r="G537" s="111" t="n">
        <v>45472</v>
      </c>
      <c r="H537" s="111" t="n">
        <v>45472</v>
      </c>
      <c r="I537" t="n">
        <v>2</v>
      </c>
      <c r="J537" t="n">
        <v>2</v>
      </c>
      <c r="K537" t="inlineStr">
        <is>
          <t>TR 4</t>
        </is>
      </c>
      <c r="L537" t="inlineStr">
        <is>
          <t>--</t>
        </is>
      </c>
      <c r="M537" t="inlineStr">
        <is>
          <t>--</t>
        </is>
      </c>
      <c r="N537" t="inlineStr">
        <is>
          <t>--</t>
        </is>
      </c>
      <c r="O537" t="inlineStr">
        <is>
          <t>JJH</t>
        </is>
      </c>
      <c r="Q537" s="62">
        <f>IF(C537="Yes", 1, IF(C537="no", 0, IF(C537= "tardy", SUM(J537/I537),"")))</f>
        <v/>
      </c>
      <c r="R537">
        <f>LEFT(Train_Log[[#This Row],[COURSE NAME:]],FIND(" - ", Train_Log[[#This Row],[COURSE NAME:]]) -1)</f>
        <v/>
      </c>
      <c r="S537">
        <f>MID(Train_Log[[#This Row],[COURSE NAME:]],FIND(" - ", Train_Log[[#This Row],[COURSE NAME:]]), 13)</f>
        <v/>
      </c>
      <c r="T537">
        <f>MID(E537, FIND(" - ", E537) + 3, LEN(E537)) &amp; "_" &amp; TEXT(F537, "yyyymmdd") &amp; "_" &amp; TEXT(H537, "yyyymmdd")</f>
        <v/>
      </c>
    </row>
    <row r="538">
      <c r="B538" t="inlineStr">
        <is>
          <t>EE162</t>
        </is>
      </c>
      <c r="C538" t="inlineStr">
        <is>
          <t>No</t>
        </is>
      </c>
      <c r="D538" t="inlineStr">
        <is>
          <t>5903055</t>
        </is>
      </c>
      <c r="E538" t="inlineStr">
        <is>
          <t>SUPPORT - TRAINING - PTSP TRAINING</t>
        </is>
      </c>
      <c r="F538" s="111" t="n">
        <v>45733</v>
      </c>
      <c r="G538" s="111" t="n">
        <v>45733</v>
      </c>
      <c r="H538" s="111" t="n">
        <v>45733</v>
      </c>
      <c r="I538" t="n">
        <v>4</v>
      </c>
      <c r="J538" t="n">
        <v>4</v>
      </c>
      <c r="K538" t="inlineStr">
        <is>
          <t>TR 2</t>
        </is>
      </c>
      <c r="L538" t="inlineStr">
        <is>
          <t>--</t>
        </is>
      </c>
      <c r="M538" t="inlineStr">
        <is>
          <t>--</t>
        </is>
      </c>
      <c r="N538" t="inlineStr">
        <is>
          <t>--</t>
        </is>
      </c>
      <c r="O538" t="inlineStr">
        <is>
          <t>JJH</t>
        </is>
      </c>
      <c r="Q538" s="62">
        <f>IF(C538="Yes", 1, IF(C538="no", 0, IF(C538= "tardy", SUM(J538/I538),"")))</f>
        <v/>
      </c>
      <c r="R538">
        <f>LEFT(Train_Log[[#This Row],[COURSE NAME:]],FIND(" - ", Train_Log[[#This Row],[COURSE NAME:]]) -1)</f>
        <v/>
      </c>
      <c r="S538">
        <f>MID(Train_Log[[#This Row],[COURSE NAME:]],FIND(" - ", Train_Log[[#This Row],[COURSE NAME:]]), 13)</f>
        <v/>
      </c>
      <c r="T538">
        <f>MID(E538, FIND(" - ", E538) + 3, LEN(E538)) &amp; "_" &amp; TEXT(F538, "yyyymmdd") &amp; "_" &amp; TEXT(H538, "yyyymmdd")</f>
        <v/>
      </c>
    </row>
    <row r="539">
      <c r="B539" t="inlineStr">
        <is>
          <t>EE40</t>
        </is>
      </c>
      <c r="C539" t="inlineStr">
        <is>
          <t>No</t>
        </is>
      </c>
      <c r="D539" t="inlineStr">
        <is>
          <t>5411779</t>
        </is>
      </c>
      <c r="E539" t="inlineStr">
        <is>
          <t>PHONES - BENEFITS</t>
        </is>
      </c>
      <c r="F539" s="111" t="n">
        <v>45769</v>
      </c>
      <c r="G539" s="111" t="n">
        <v>45773</v>
      </c>
      <c r="H539" s="111" t="n">
        <v>45773</v>
      </c>
      <c r="I539" t="n">
        <v>2</v>
      </c>
      <c r="J539" t="n">
        <v>2</v>
      </c>
      <c r="K539" t="inlineStr">
        <is>
          <t>TR 2</t>
        </is>
      </c>
      <c r="L539" t="inlineStr">
        <is>
          <t>TR 1</t>
        </is>
      </c>
      <c r="M539" t="inlineStr">
        <is>
          <t>--</t>
        </is>
      </c>
      <c r="N539" t="inlineStr">
        <is>
          <t>--</t>
        </is>
      </c>
      <c r="O539" t="inlineStr">
        <is>
          <t>JJH</t>
        </is>
      </c>
      <c r="Q539" s="62">
        <f>IF(C539="Yes", 1, IF(C539="no", 0, IF(C539= "tardy", SUM(J539/I539),"")))</f>
        <v/>
      </c>
      <c r="R539">
        <f>LEFT(Train_Log[[#This Row],[COURSE NAME:]],FIND(" - ", Train_Log[[#This Row],[COURSE NAME:]]) -1)</f>
        <v/>
      </c>
      <c r="S539">
        <f>MID(Train_Log[[#This Row],[COURSE NAME:]],FIND(" - ", Train_Log[[#This Row],[COURSE NAME:]]), 13)</f>
        <v/>
      </c>
      <c r="T539">
        <f>MID(E539, FIND(" - ", E539) + 3, LEN(E539)) &amp; "_" &amp; TEXT(F539, "yyyymmdd") &amp; "_" &amp; TEXT(H539, "yyyymmdd")</f>
        <v/>
      </c>
    </row>
    <row r="540">
      <c r="B540" t="inlineStr">
        <is>
          <t>EE46</t>
        </is>
      </c>
      <c r="C540" t="inlineStr">
        <is>
          <t>No</t>
        </is>
      </c>
      <c r="D540" t="inlineStr">
        <is>
          <t>5442654</t>
        </is>
      </c>
      <c r="E540" t="inlineStr">
        <is>
          <t>RTR - EFORM SEPARATIONS TRAINING</t>
        </is>
      </c>
      <c r="F540" s="111" t="n">
        <v>45371</v>
      </c>
      <c r="G540" s="111" t="n">
        <v>45373</v>
      </c>
      <c r="H540" s="111" t="n">
        <v>45373</v>
      </c>
      <c r="I540" t="n">
        <v>3</v>
      </c>
      <c r="J540" t="n">
        <v>3</v>
      </c>
      <c r="K540" t="inlineStr">
        <is>
          <t>TR 7</t>
        </is>
      </c>
      <c r="L540" t="inlineStr">
        <is>
          <t>TR 7</t>
        </is>
      </c>
      <c r="M540" t="inlineStr">
        <is>
          <t>--</t>
        </is>
      </c>
      <c r="N540" t="inlineStr">
        <is>
          <t>--</t>
        </is>
      </c>
      <c r="O540" t="inlineStr">
        <is>
          <t>JJH</t>
        </is>
      </c>
      <c r="Q540" s="62">
        <f>IF(C540="Yes", 1, IF(C540="no", 0, IF(C540= "tardy", SUM(J540/I540),"")))</f>
        <v/>
      </c>
      <c r="R540">
        <f>LEFT(Train_Log[[#This Row],[COURSE NAME:]],FIND(" - ", Train_Log[[#This Row],[COURSE NAME:]]) -1)</f>
        <v/>
      </c>
      <c r="S540">
        <f>MID(Train_Log[[#This Row],[COURSE NAME:]],FIND(" - ", Train_Log[[#This Row],[COURSE NAME:]]), 13)</f>
        <v/>
      </c>
      <c r="T540">
        <f>MID(E540, FIND(" - ", E540) + 3, LEN(E540)) &amp; "_" &amp; TEXT(F540, "yyyymmdd") &amp; "_" &amp; TEXT(H540, "yyyymmdd")</f>
        <v/>
      </c>
    </row>
    <row r="541">
      <c r="B541" t="inlineStr">
        <is>
          <t>EE116</t>
        </is>
      </c>
      <c r="C541" t="inlineStr">
        <is>
          <t>Yes</t>
        </is>
      </c>
      <c r="D541" t="inlineStr">
        <is>
          <t>5924564</t>
        </is>
      </c>
      <c r="E541" t="inlineStr">
        <is>
          <t>LWOP - HCES SU FACILITATION TRAINING</t>
        </is>
      </c>
      <c r="F541" s="111" t="n">
        <v>45742</v>
      </c>
      <c r="G541" s="111" t="n">
        <v>45742</v>
      </c>
      <c r="H541" s="111" t="n">
        <v>45742</v>
      </c>
      <c r="I541" t="n">
        <v>2</v>
      </c>
      <c r="J541" t="n">
        <v>0</v>
      </c>
      <c r="K541" t="inlineStr">
        <is>
          <t>TR 9</t>
        </is>
      </c>
      <c r="L541" t="inlineStr">
        <is>
          <t>TR 1</t>
        </is>
      </c>
      <c r="M541" t="inlineStr">
        <is>
          <t>--</t>
        </is>
      </c>
      <c r="N541" t="inlineStr">
        <is>
          <t>--</t>
        </is>
      </c>
      <c r="O541" t="inlineStr">
        <is>
          <t>JJH</t>
        </is>
      </c>
      <c r="Q541" s="62">
        <f>IF(C541="Yes", 1, IF(C541="no", 0, IF(C541= "tardy", SUM(J541/I541),"")))</f>
        <v/>
      </c>
      <c r="R541">
        <f>LEFT(Train_Log[[#This Row],[COURSE NAME:]],FIND(" - ", Train_Log[[#This Row],[COURSE NAME:]]) -1)</f>
        <v/>
      </c>
      <c r="S541">
        <f>MID(Train_Log[[#This Row],[COURSE NAME:]],FIND(" - ", Train_Log[[#This Row],[COURSE NAME:]]), 13)</f>
        <v/>
      </c>
      <c r="T541">
        <f>MID(E541, FIND(" - ", E541) + 3, LEN(E541)) &amp; "_" &amp; TEXT(F541, "yyyymmdd") &amp; "_" &amp; TEXT(H541, "yyyymmdd")</f>
        <v/>
      </c>
    </row>
    <row r="542">
      <c r="B542" t="inlineStr">
        <is>
          <t>EE165</t>
        </is>
      </c>
      <c r="C542" t="inlineStr">
        <is>
          <t>No</t>
        </is>
      </c>
      <c r="D542" t="inlineStr">
        <is>
          <t>6099610</t>
        </is>
      </c>
      <c r="E542" t="inlineStr">
        <is>
          <t>PHONES - EMPLOYMENT VERIFICATION</t>
        </is>
      </c>
      <c r="F542" s="111" t="n">
        <v>45345</v>
      </c>
      <c r="G542" s="111" t="n">
        <v>45349</v>
      </c>
      <c r="H542" s="111" t="n">
        <v>45349</v>
      </c>
      <c r="I542" t="n">
        <v>3</v>
      </c>
      <c r="J542" t="n">
        <v>3</v>
      </c>
      <c r="K542" t="inlineStr">
        <is>
          <t>TR 9</t>
        </is>
      </c>
      <c r="L542" t="inlineStr">
        <is>
          <t>TR 2</t>
        </is>
      </c>
      <c r="M542" t="inlineStr">
        <is>
          <t>--</t>
        </is>
      </c>
      <c r="N542" t="inlineStr">
        <is>
          <t>--</t>
        </is>
      </c>
      <c r="O542" t="inlineStr">
        <is>
          <t>JJH</t>
        </is>
      </c>
      <c r="Q542" s="62">
        <f>IF(C542="Yes", 1, IF(C542="no", 0, IF(C542= "tardy", SUM(J542/I542),"")))</f>
        <v/>
      </c>
      <c r="R542">
        <f>LEFT(Train_Log[[#This Row],[COURSE NAME:]],FIND(" - ", Train_Log[[#This Row],[COURSE NAME:]]) -1)</f>
        <v/>
      </c>
      <c r="S542">
        <f>MID(Train_Log[[#This Row],[COURSE NAME:]],FIND(" - ", Train_Log[[#This Row],[COURSE NAME:]]), 13)</f>
        <v/>
      </c>
      <c r="T542">
        <f>MID(E542, FIND(" - ", E542) + 3, LEN(E542)) &amp; "_" &amp; TEXT(F542, "yyyymmdd") &amp; "_" &amp; TEXT(H542, "yyyymmdd")</f>
        <v/>
      </c>
    </row>
    <row r="543">
      <c r="B543" t="inlineStr">
        <is>
          <t>EE75</t>
        </is>
      </c>
      <c r="C543" t="inlineStr">
        <is>
          <t>No</t>
        </is>
      </c>
      <c r="D543" t="inlineStr">
        <is>
          <t>5530217</t>
        </is>
      </c>
      <c r="E543" t="inlineStr">
        <is>
          <t>RTR - EFORM SEPARATIONS TRAINING</t>
        </is>
      </c>
      <c r="F543" s="111" t="n">
        <v>45387</v>
      </c>
      <c r="G543" s="111" t="n">
        <v>45387</v>
      </c>
      <c r="H543" s="111" t="n">
        <v>45387</v>
      </c>
      <c r="I543" t="n">
        <v>4</v>
      </c>
      <c r="J543" t="n">
        <v>4</v>
      </c>
      <c r="K543" t="inlineStr">
        <is>
          <t>TR 7</t>
        </is>
      </c>
      <c r="L543" t="inlineStr">
        <is>
          <t>TR 7</t>
        </is>
      </c>
      <c r="M543" t="inlineStr">
        <is>
          <t>--</t>
        </is>
      </c>
      <c r="N543" t="inlineStr">
        <is>
          <t>--</t>
        </is>
      </c>
      <c r="O543" t="inlineStr">
        <is>
          <t>JJH</t>
        </is>
      </c>
      <c r="Q543" s="62">
        <f>IF(C543="Yes", 1, IF(C543="no", 0, IF(C543= "tardy", SUM(J543/I543),"")))</f>
        <v/>
      </c>
      <c r="R543">
        <f>LEFT(Train_Log[[#This Row],[COURSE NAME:]],FIND(" - ", Train_Log[[#This Row],[COURSE NAME:]]) -1)</f>
        <v/>
      </c>
      <c r="S543">
        <f>MID(Train_Log[[#This Row],[COURSE NAME:]],FIND(" - ", Train_Log[[#This Row],[COURSE NAME:]]), 13)</f>
        <v/>
      </c>
      <c r="T543">
        <f>MID(E543, FIND(" - ", E543) + 3, LEN(E543)) &amp; "_" &amp; TEXT(F543, "yyyymmdd") &amp; "_" &amp; TEXT(H543, "yyyymmdd")</f>
        <v/>
      </c>
    </row>
    <row r="544">
      <c r="B544" t="inlineStr">
        <is>
          <t>EE170</t>
        </is>
      </c>
      <c r="C544" t="inlineStr">
        <is>
          <t>No</t>
        </is>
      </c>
      <c r="D544" t="inlineStr">
        <is>
          <t>5251768</t>
        </is>
      </c>
      <c r="E544" t="inlineStr">
        <is>
          <t>PHONES - BENEFITS</t>
        </is>
      </c>
      <c r="F544" s="111" t="n">
        <v>45784</v>
      </c>
      <c r="G544" s="111" t="n">
        <v>45784</v>
      </c>
      <c r="H544" s="111" t="n">
        <v>45784</v>
      </c>
      <c r="I544" t="n">
        <v>2</v>
      </c>
      <c r="J544" t="n">
        <v>2</v>
      </c>
      <c r="K544" t="inlineStr">
        <is>
          <t>TR 7</t>
        </is>
      </c>
      <c r="L544" t="inlineStr">
        <is>
          <t>TR 9</t>
        </is>
      </c>
      <c r="M544" t="inlineStr">
        <is>
          <t>--</t>
        </is>
      </c>
      <c r="N544" t="inlineStr">
        <is>
          <t>--</t>
        </is>
      </c>
      <c r="O544" t="inlineStr">
        <is>
          <t>JJH</t>
        </is>
      </c>
      <c r="Q544" s="62">
        <f>IF(C544="Yes", 1, IF(C544="no", 0, IF(C544= "tardy", SUM(J544/I544),"")))</f>
        <v/>
      </c>
      <c r="R544">
        <f>LEFT(Train_Log[[#This Row],[COURSE NAME:]],FIND(" - ", Train_Log[[#This Row],[COURSE NAME:]]) -1)</f>
        <v/>
      </c>
      <c r="S544">
        <f>MID(Train_Log[[#This Row],[COURSE NAME:]],FIND(" - ", Train_Log[[#This Row],[COURSE NAME:]]), 13)</f>
        <v/>
      </c>
      <c r="T544">
        <f>MID(E544, FIND(" - ", E544) + 3, LEN(E544)) &amp; "_" &amp; TEXT(F544, "yyyymmdd") &amp; "_" &amp; TEXT(H544, "yyyymmdd")</f>
        <v/>
      </c>
    </row>
    <row r="545">
      <c r="B545" t="inlineStr">
        <is>
          <t>EE76</t>
        </is>
      </c>
      <c r="C545" t="inlineStr">
        <is>
          <t>No</t>
        </is>
      </c>
      <c r="D545" t="inlineStr">
        <is>
          <t>4682220</t>
        </is>
      </c>
      <c r="E545" t="inlineStr">
        <is>
          <t>PHONES - LWOP</t>
        </is>
      </c>
      <c r="F545" s="111" t="n">
        <v>45604</v>
      </c>
      <c r="G545" s="111" t="n">
        <v>45608</v>
      </c>
      <c r="H545" s="111" t="n">
        <v>45608</v>
      </c>
      <c r="I545" t="n">
        <v>3</v>
      </c>
      <c r="J545" t="n">
        <v>3</v>
      </c>
      <c r="K545" t="inlineStr">
        <is>
          <t>TR 1</t>
        </is>
      </c>
      <c r="L545" t="inlineStr">
        <is>
          <t>TR 9</t>
        </is>
      </c>
      <c r="M545" t="inlineStr">
        <is>
          <t>--</t>
        </is>
      </c>
      <c r="N545" t="inlineStr">
        <is>
          <t>--</t>
        </is>
      </c>
      <c r="O545" t="inlineStr">
        <is>
          <t>JJH</t>
        </is>
      </c>
      <c r="Q545" s="62">
        <f>IF(C545="Yes", 1, IF(C545="no", 0, IF(C545= "tardy", SUM(J545/I545),"")))</f>
        <v/>
      </c>
      <c r="R545">
        <f>LEFT(Train_Log[[#This Row],[COURSE NAME:]],FIND(" - ", Train_Log[[#This Row],[COURSE NAME:]]) -1)</f>
        <v/>
      </c>
      <c r="S545">
        <f>MID(Train_Log[[#This Row],[COURSE NAME:]],FIND(" - ", Train_Log[[#This Row],[COURSE NAME:]]), 13)</f>
        <v/>
      </c>
      <c r="T545">
        <f>MID(E545, FIND(" - ", E545) + 3, LEN(E545)) &amp; "_" &amp; TEXT(F545, "yyyymmdd") &amp; "_" &amp; TEXT(H545, "yyyymmdd")</f>
        <v/>
      </c>
    </row>
    <row r="546">
      <c r="B546" t="inlineStr">
        <is>
          <t>EE143</t>
        </is>
      </c>
      <c r="C546" t="inlineStr">
        <is>
          <t>Yes</t>
        </is>
      </c>
      <c r="D546" t="inlineStr">
        <is>
          <t>5613831</t>
        </is>
      </c>
      <c r="E546" t="inlineStr">
        <is>
          <t>PHONES - LWOP</t>
        </is>
      </c>
      <c r="F546" s="111" t="n">
        <v>45425</v>
      </c>
      <c r="G546" s="111" t="n">
        <v>45425</v>
      </c>
      <c r="H546" s="111" t="n">
        <v>45425</v>
      </c>
      <c r="I546" t="n">
        <v>8</v>
      </c>
      <c r="J546" t="n">
        <v>0</v>
      </c>
      <c r="K546" t="inlineStr">
        <is>
          <t>TR 7</t>
        </is>
      </c>
      <c r="L546" t="inlineStr">
        <is>
          <t>TR 9</t>
        </is>
      </c>
      <c r="M546" t="inlineStr">
        <is>
          <t>--</t>
        </is>
      </c>
      <c r="N546" t="inlineStr">
        <is>
          <t>--</t>
        </is>
      </c>
      <c r="O546" t="inlineStr">
        <is>
          <t>JJH</t>
        </is>
      </c>
      <c r="Q546" s="62">
        <f>IF(C546="Yes", 1, IF(C546="no", 0, IF(C546= "tardy", SUM(J546/I546),"")))</f>
        <v/>
      </c>
      <c r="R546">
        <f>LEFT(Train_Log[[#This Row],[COURSE NAME:]],FIND(" - ", Train_Log[[#This Row],[COURSE NAME:]]) -1)</f>
        <v/>
      </c>
      <c r="S546">
        <f>MID(Train_Log[[#This Row],[COURSE NAME:]],FIND(" - ", Train_Log[[#This Row],[COURSE NAME:]]), 13)</f>
        <v/>
      </c>
      <c r="T546">
        <f>MID(E546, FIND(" - ", E546) + 3, LEN(E546)) &amp; "_" &amp; TEXT(F546, "yyyymmdd") &amp; "_" &amp; TEXT(H546, "yyyymmdd")</f>
        <v/>
      </c>
    </row>
    <row r="547">
      <c r="B547" t="inlineStr">
        <is>
          <t>EE141</t>
        </is>
      </c>
      <c r="C547" t="inlineStr">
        <is>
          <t>No</t>
        </is>
      </c>
      <c r="D547" t="inlineStr">
        <is>
          <t>6501520</t>
        </is>
      </c>
      <c r="E547" t="inlineStr">
        <is>
          <t>PHONES - EMPLOYMENT VERIFICATION</t>
        </is>
      </c>
      <c r="F547" s="111" t="n">
        <v>45611</v>
      </c>
      <c r="G547" s="111" t="n">
        <v>45611</v>
      </c>
      <c r="H547" s="111" t="n">
        <v>45611</v>
      </c>
      <c r="I547" t="n">
        <v>3</v>
      </c>
      <c r="J547" t="n">
        <v>3</v>
      </c>
      <c r="K547" t="inlineStr">
        <is>
          <t>TR 4</t>
        </is>
      </c>
      <c r="L547" t="inlineStr">
        <is>
          <t>TR 7</t>
        </is>
      </c>
      <c r="M547" t="inlineStr">
        <is>
          <t>--</t>
        </is>
      </c>
      <c r="N547" t="inlineStr">
        <is>
          <t>--</t>
        </is>
      </c>
      <c r="O547" t="inlineStr">
        <is>
          <t>JJH</t>
        </is>
      </c>
      <c r="Q547" s="62">
        <f>IF(C547="Yes", 1, IF(C547="no", 0, IF(C547= "tardy", SUM(J547/I547),"")))</f>
        <v/>
      </c>
      <c r="R547">
        <f>LEFT(Train_Log[[#This Row],[COURSE NAME:]],FIND(" - ", Train_Log[[#This Row],[COURSE NAME:]]) -1)</f>
        <v/>
      </c>
      <c r="S547">
        <f>MID(Train_Log[[#This Row],[COURSE NAME:]],FIND(" - ", Train_Log[[#This Row],[COURSE NAME:]]), 13)</f>
        <v/>
      </c>
      <c r="T547">
        <f>MID(E547, FIND(" - ", E547) + 3, LEN(E547)) &amp; "_" &amp; TEXT(F547, "yyyymmdd") &amp; "_" &amp; TEXT(H547, "yyyymmdd")</f>
        <v/>
      </c>
    </row>
    <row r="548">
      <c r="B548" t="inlineStr">
        <is>
          <t>EE166</t>
        </is>
      </c>
      <c r="C548" t="inlineStr">
        <is>
          <t>No</t>
        </is>
      </c>
      <c r="D548" t="inlineStr">
        <is>
          <t>4749320</t>
        </is>
      </c>
      <c r="E548" t="inlineStr">
        <is>
          <t>PHONES - LWOP</t>
        </is>
      </c>
      <c r="F548" s="111" t="n">
        <v>45463</v>
      </c>
      <c r="G548" s="111" t="n">
        <v>45463</v>
      </c>
      <c r="H548" s="111" t="n">
        <v>45463</v>
      </c>
      <c r="I548" t="n">
        <v>3</v>
      </c>
      <c r="J548" t="n">
        <v>3</v>
      </c>
      <c r="K548" t="inlineStr">
        <is>
          <t>TR 4</t>
        </is>
      </c>
      <c r="L548" t="inlineStr">
        <is>
          <t>TR 2</t>
        </is>
      </c>
      <c r="M548" t="inlineStr">
        <is>
          <t>--</t>
        </is>
      </c>
      <c r="N548" t="inlineStr">
        <is>
          <t>--</t>
        </is>
      </c>
      <c r="O548" t="inlineStr">
        <is>
          <t>JJH</t>
        </is>
      </c>
      <c r="Q548" s="62">
        <f>IF(C548="Yes", 1, IF(C548="no", 0, IF(C548= "tardy", SUM(J548/I548),"")))</f>
        <v/>
      </c>
      <c r="R548">
        <f>LEFT(Train_Log[[#This Row],[COURSE NAME:]],FIND(" - ", Train_Log[[#This Row],[COURSE NAME:]]) -1)</f>
        <v/>
      </c>
      <c r="S548">
        <f>MID(Train_Log[[#This Row],[COURSE NAME:]],FIND(" - ", Train_Log[[#This Row],[COURSE NAME:]]), 13)</f>
        <v/>
      </c>
      <c r="T548">
        <f>MID(E548, FIND(" - ", E548) + 3, LEN(E548)) &amp; "_" &amp; TEXT(F548, "yyyymmdd") &amp; "_" &amp; TEXT(H548, "yyyymmdd")</f>
        <v/>
      </c>
    </row>
    <row r="549">
      <c r="B549" t="inlineStr">
        <is>
          <t>EE47</t>
        </is>
      </c>
      <c r="C549" t="inlineStr">
        <is>
          <t>No</t>
        </is>
      </c>
      <c r="D549" t="inlineStr">
        <is>
          <t>6532210</t>
        </is>
      </c>
      <c r="E549" t="inlineStr">
        <is>
          <t>PHONES - BENEFITS</t>
        </is>
      </c>
      <c r="F549" s="111" t="n">
        <v>45771</v>
      </c>
      <c r="G549" s="111" t="n">
        <v>45775</v>
      </c>
      <c r="H549" s="111" t="n">
        <v>45775</v>
      </c>
      <c r="I549" t="n">
        <v>3</v>
      </c>
      <c r="J549" t="n">
        <v>3</v>
      </c>
      <c r="K549" t="inlineStr">
        <is>
          <t>TR 2</t>
        </is>
      </c>
      <c r="L549" t="inlineStr">
        <is>
          <t>TR 5</t>
        </is>
      </c>
      <c r="M549" t="inlineStr">
        <is>
          <t>--</t>
        </is>
      </c>
      <c r="N549" t="inlineStr">
        <is>
          <t>--</t>
        </is>
      </c>
      <c r="O549" t="inlineStr">
        <is>
          <t>JJH</t>
        </is>
      </c>
      <c r="Q549" s="62">
        <f>IF(C549="Yes", 1, IF(C549="no", 0, IF(C549= "tardy", SUM(J549/I549),"")))</f>
        <v/>
      </c>
      <c r="R549">
        <f>LEFT(Train_Log[[#This Row],[COURSE NAME:]],FIND(" - ", Train_Log[[#This Row],[COURSE NAME:]]) -1)</f>
        <v/>
      </c>
      <c r="S549">
        <f>MID(Train_Log[[#This Row],[COURSE NAME:]],FIND(" - ", Train_Log[[#This Row],[COURSE NAME:]]), 13)</f>
        <v/>
      </c>
      <c r="T549">
        <f>MID(E549, FIND(" - ", E549) + 3, LEN(E549)) &amp; "_" &amp; TEXT(F549, "yyyymmdd") &amp; "_" &amp; TEXT(H549, "yyyymmdd")</f>
        <v/>
      </c>
    </row>
    <row r="550">
      <c r="B550" t="inlineStr">
        <is>
          <t>EE26</t>
        </is>
      </c>
      <c r="C550" t="inlineStr">
        <is>
          <t>No</t>
        </is>
      </c>
      <c r="D550" t="inlineStr">
        <is>
          <t>6285650</t>
        </is>
      </c>
      <c r="E550" t="inlineStr">
        <is>
          <t>SUPPORT - TRAINING - PTSP TRAINING</t>
        </is>
      </c>
      <c r="F550" s="111" t="n">
        <v>45797</v>
      </c>
      <c r="G550" s="111" t="n">
        <v>45797</v>
      </c>
      <c r="H550" s="111" t="n">
        <v>45797</v>
      </c>
      <c r="I550" t="n">
        <v>2</v>
      </c>
      <c r="J550" t="n">
        <v>2</v>
      </c>
      <c r="K550" t="inlineStr">
        <is>
          <t>TR 2</t>
        </is>
      </c>
      <c r="L550" t="inlineStr">
        <is>
          <t>TR 5</t>
        </is>
      </c>
      <c r="M550" t="inlineStr">
        <is>
          <t>--</t>
        </is>
      </c>
      <c r="N550" t="inlineStr">
        <is>
          <t>--</t>
        </is>
      </c>
      <c r="O550" t="inlineStr">
        <is>
          <t>JJH</t>
        </is>
      </c>
      <c r="Q550" s="62">
        <f>IF(C550="Yes", 1, IF(C550="no", 0, IF(C550= "tardy", SUM(J550/I550),"")))</f>
        <v/>
      </c>
      <c r="R550">
        <f>LEFT(Train_Log[[#This Row],[COURSE NAME:]],FIND(" - ", Train_Log[[#This Row],[COURSE NAME:]]) -1)</f>
        <v/>
      </c>
      <c r="S550">
        <f>MID(Train_Log[[#This Row],[COURSE NAME:]],FIND(" - ", Train_Log[[#This Row],[COURSE NAME:]]), 13)</f>
        <v/>
      </c>
      <c r="T550">
        <f>MID(E550, FIND(" - ", E550) + 3, LEN(E550)) &amp; "_" &amp; TEXT(F550, "yyyymmdd") &amp; "_" &amp; TEXT(H550, "yyyymmdd")</f>
        <v/>
      </c>
    </row>
    <row r="551">
      <c r="B551" t="inlineStr">
        <is>
          <t>EE159</t>
        </is>
      </c>
      <c r="C551" t="inlineStr">
        <is>
          <t>No</t>
        </is>
      </c>
      <c r="D551" t="inlineStr">
        <is>
          <t>5231028</t>
        </is>
      </c>
      <c r="E551" t="inlineStr">
        <is>
          <t>PHONES - EMPLOYMENT VERIFICATION</t>
        </is>
      </c>
      <c r="F551" s="111" t="n">
        <v>45497</v>
      </c>
      <c r="G551" s="111" t="n">
        <v>45497</v>
      </c>
      <c r="H551" s="111" t="n">
        <v>45497</v>
      </c>
      <c r="I551" t="n">
        <v>3</v>
      </c>
      <c r="J551" t="n">
        <v>3</v>
      </c>
      <c r="K551" t="inlineStr">
        <is>
          <t>TR 10</t>
        </is>
      </c>
      <c r="L551" t="inlineStr">
        <is>
          <t>--</t>
        </is>
      </c>
      <c r="M551" t="inlineStr">
        <is>
          <t>--</t>
        </is>
      </c>
      <c r="N551" t="inlineStr">
        <is>
          <t>--</t>
        </is>
      </c>
      <c r="O551" t="inlineStr">
        <is>
          <t>JJH</t>
        </is>
      </c>
      <c r="Q551" s="62">
        <f>IF(C551="Yes", 1, IF(C551="no", 0, IF(C551= "tardy", SUM(J551/I551),"")))</f>
        <v/>
      </c>
      <c r="R551">
        <f>LEFT(Train_Log[[#This Row],[COURSE NAME:]],FIND(" - ", Train_Log[[#This Row],[COURSE NAME:]]) -1)</f>
        <v/>
      </c>
      <c r="S551">
        <f>MID(Train_Log[[#This Row],[COURSE NAME:]],FIND(" - ", Train_Log[[#This Row],[COURSE NAME:]]), 13)</f>
        <v/>
      </c>
      <c r="T551">
        <f>MID(E551, FIND(" - ", E551) + 3, LEN(E551)) &amp; "_" &amp; TEXT(F551, "yyyymmdd") &amp; "_" &amp; TEXT(H551, "yyyymmdd")</f>
        <v/>
      </c>
    </row>
    <row r="552">
      <c r="B552" t="inlineStr">
        <is>
          <t>EE79</t>
        </is>
      </c>
      <c r="C552" t="inlineStr">
        <is>
          <t>No</t>
        </is>
      </c>
      <c r="D552" t="inlineStr">
        <is>
          <t>4878736</t>
        </is>
      </c>
      <c r="E552" t="inlineStr">
        <is>
          <t>PHONES - LWOP</t>
        </is>
      </c>
      <c r="F552" s="111" t="n">
        <v>45672</v>
      </c>
      <c r="G552" s="111" t="n">
        <v>45672</v>
      </c>
      <c r="H552" s="111" t="n">
        <v>45672</v>
      </c>
      <c r="I552" t="n">
        <v>2</v>
      </c>
      <c r="J552" t="n">
        <v>2</v>
      </c>
      <c r="K552" t="inlineStr">
        <is>
          <t>TR 1</t>
        </is>
      </c>
      <c r="L552" t="inlineStr">
        <is>
          <t>TR 6</t>
        </is>
      </c>
      <c r="M552" t="inlineStr">
        <is>
          <t>--</t>
        </is>
      </c>
      <c r="N552" t="inlineStr">
        <is>
          <t>--</t>
        </is>
      </c>
      <c r="O552" t="inlineStr">
        <is>
          <t>JJH</t>
        </is>
      </c>
      <c r="Q552" s="62">
        <f>IF(C552="Yes", 1, IF(C552="no", 0, IF(C552= "tardy", SUM(J552/I552),"")))</f>
        <v/>
      </c>
      <c r="R552">
        <f>LEFT(Train_Log[[#This Row],[COURSE NAME:]],FIND(" - ", Train_Log[[#This Row],[COURSE NAME:]]) -1)</f>
        <v/>
      </c>
      <c r="S552">
        <f>MID(Train_Log[[#This Row],[COURSE NAME:]],FIND(" - ", Train_Log[[#This Row],[COURSE NAME:]]), 13)</f>
        <v/>
      </c>
      <c r="T552">
        <f>MID(E552, FIND(" - ", E552) + 3, LEN(E552)) &amp; "_" &amp; TEXT(F552, "yyyymmdd") &amp; "_" &amp; TEXT(H552, "yyyymmdd")</f>
        <v/>
      </c>
    </row>
    <row r="553">
      <c r="B553" t="inlineStr">
        <is>
          <t>EE64</t>
        </is>
      </c>
      <c r="C553" t="inlineStr">
        <is>
          <t>No</t>
        </is>
      </c>
      <c r="D553" t="inlineStr">
        <is>
          <t>4192201</t>
        </is>
      </c>
      <c r="E553" t="inlineStr">
        <is>
          <t>SUPPORT - TRAINING - PTSP TRAINING</t>
        </is>
      </c>
      <c r="F553" s="111" t="n">
        <v>45745</v>
      </c>
      <c r="G553" s="111" t="n">
        <v>45745</v>
      </c>
      <c r="H553" s="111" t="n">
        <v>45745</v>
      </c>
      <c r="I553" t="n">
        <v>2</v>
      </c>
      <c r="J553" t="n">
        <v>2</v>
      </c>
      <c r="K553" t="inlineStr">
        <is>
          <t>TR 6</t>
        </is>
      </c>
      <c r="L553" t="inlineStr">
        <is>
          <t>TR 8</t>
        </is>
      </c>
      <c r="M553" t="inlineStr">
        <is>
          <t>--</t>
        </is>
      </c>
      <c r="N553" t="inlineStr">
        <is>
          <t>--</t>
        </is>
      </c>
      <c r="O553" t="inlineStr">
        <is>
          <t>JJH</t>
        </is>
      </c>
      <c r="Q553" s="62">
        <f>IF(C553="Yes", 1, IF(C553="no", 0, IF(C553= "tardy", SUM(J553/I553),"")))</f>
        <v/>
      </c>
      <c r="R553">
        <f>LEFT(Train_Log[[#This Row],[COURSE NAME:]],FIND(" - ", Train_Log[[#This Row],[COURSE NAME:]]) -1)</f>
        <v/>
      </c>
      <c r="S553">
        <f>MID(Train_Log[[#This Row],[COURSE NAME:]],FIND(" - ", Train_Log[[#This Row],[COURSE NAME:]]), 13)</f>
        <v/>
      </c>
      <c r="T553">
        <f>MID(E553, FIND(" - ", E553) + 3, LEN(E553)) &amp; "_" &amp; TEXT(F553, "yyyymmdd") &amp; "_" &amp; TEXT(H553, "yyyymmdd")</f>
        <v/>
      </c>
    </row>
    <row r="554">
      <c r="B554" t="inlineStr">
        <is>
          <t>EE119</t>
        </is>
      </c>
      <c r="C554" t="inlineStr">
        <is>
          <t>No</t>
        </is>
      </c>
      <c r="D554" t="inlineStr">
        <is>
          <t>4585652</t>
        </is>
      </c>
      <c r="E554" t="inlineStr">
        <is>
          <t>OPTIONAL RETIREMENTS - MAILBUILD</t>
        </is>
      </c>
      <c r="F554" s="111" t="n">
        <v>45666</v>
      </c>
      <c r="G554" s="111" t="n">
        <v>45666</v>
      </c>
      <c r="H554" s="111" t="n">
        <v>45666</v>
      </c>
      <c r="I554" t="n">
        <v>2</v>
      </c>
      <c r="J554" t="n">
        <v>2</v>
      </c>
      <c r="K554" t="inlineStr">
        <is>
          <t>TR 3</t>
        </is>
      </c>
      <c r="L554" t="inlineStr">
        <is>
          <t>--</t>
        </is>
      </c>
      <c r="M554" t="inlineStr">
        <is>
          <t>--</t>
        </is>
      </c>
      <c r="N554" t="inlineStr">
        <is>
          <t>--</t>
        </is>
      </c>
      <c r="O554" t="inlineStr">
        <is>
          <t>JJH</t>
        </is>
      </c>
      <c r="Q554" s="62">
        <f>IF(C554="Yes", 1, IF(C554="no", 0, IF(C554= "tardy", SUM(J554/I554),"")))</f>
        <v/>
      </c>
      <c r="R554">
        <f>LEFT(Train_Log[[#This Row],[COURSE NAME:]],FIND(" - ", Train_Log[[#This Row],[COURSE NAME:]]) -1)</f>
        <v/>
      </c>
      <c r="S554">
        <f>MID(Train_Log[[#This Row],[COURSE NAME:]],FIND(" - ", Train_Log[[#This Row],[COURSE NAME:]]), 13)</f>
        <v/>
      </c>
      <c r="T554">
        <f>MID(E554, FIND(" - ", E554) + 3, LEN(E554)) &amp; "_" &amp; TEXT(F554, "yyyymmdd") &amp; "_" &amp; TEXT(H554, "yyyymmdd")</f>
        <v/>
      </c>
    </row>
    <row r="555">
      <c r="B555" t="inlineStr">
        <is>
          <t>EE156</t>
        </is>
      </c>
      <c r="C555" t="inlineStr">
        <is>
          <t>No</t>
        </is>
      </c>
      <c r="D555" t="inlineStr">
        <is>
          <t>6688388</t>
        </is>
      </c>
      <c r="E555" t="inlineStr">
        <is>
          <t>PHONES - EMPLOYMENT VERIFICATION</t>
        </is>
      </c>
      <c r="F555" s="111" t="n">
        <v>45586</v>
      </c>
      <c r="G555" s="111" t="n">
        <v>45586</v>
      </c>
      <c r="H555" s="111" t="n">
        <v>45586</v>
      </c>
      <c r="I555" t="n">
        <v>2</v>
      </c>
      <c r="J555" t="n">
        <v>2</v>
      </c>
      <c r="K555" t="inlineStr">
        <is>
          <t>TR 5</t>
        </is>
      </c>
      <c r="L555" t="inlineStr">
        <is>
          <t>--</t>
        </is>
      </c>
      <c r="M555" t="inlineStr">
        <is>
          <t>--</t>
        </is>
      </c>
      <c r="N555" t="inlineStr">
        <is>
          <t>--</t>
        </is>
      </c>
      <c r="O555" t="inlineStr">
        <is>
          <t>JJH</t>
        </is>
      </c>
      <c r="Q555" s="62">
        <f>IF(C555="Yes", 1, IF(C555="no", 0, IF(C555= "tardy", SUM(J555/I555),"")))</f>
        <v/>
      </c>
      <c r="R555">
        <f>LEFT(Train_Log[[#This Row],[COURSE NAME:]],FIND(" - ", Train_Log[[#This Row],[COURSE NAME:]]) -1)</f>
        <v/>
      </c>
      <c r="S555">
        <f>MID(Train_Log[[#This Row],[COURSE NAME:]],FIND(" - ", Train_Log[[#This Row],[COURSE NAME:]]), 13)</f>
        <v/>
      </c>
      <c r="T555">
        <f>MID(E555, FIND(" - ", E555) + 3, LEN(E555)) &amp; "_" &amp; TEXT(F555, "yyyymmdd") &amp; "_" &amp; TEXT(H555, "yyyymmdd")</f>
        <v/>
      </c>
    </row>
    <row r="556">
      <c r="B556" t="inlineStr">
        <is>
          <t>EE20</t>
        </is>
      </c>
      <c r="C556" t="inlineStr">
        <is>
          <t>No</t>
        </is>
      </c>
      <c r="D556" t="inlineStr">
        <is>
          <t>6525049</t>
        </is>
      </c>
      <c r="E556" t="inlineStr">
        <is>
          <t>PHONES - EMPLOYMENT VERIFICATION</t>
        </is>
      </c>
      <c r="F556" s="111" t="n">
        <v>45318</v>
      </c>
      <c r="G556" s="111" t="n">
        <v>45320</v>
      </c>
      <c r="H556" s="111" t="n">
        <v>45320</v>
      </c>
      <c r="I556" t="n">
        <v>8</v>
      </c>
      <c r="J556" t="n">
        <v>8</v>
      </c>
      <c r="K556" t="inlineStr">
        <is>
          <t>TR 10</t>
        </is>
      </c>
      <c r="L556" t="inlineStr">
        <is>
          <t>TR 7</t>
        </is>
      </c>
      <c r="M556" t="inlineStr">
        <is>
          <t>--</t>
        </is>
      </c>
      <c r="N556" t="inlineStr">
        <is>
          <t>--</t>
        </is>
      </c>
      <c r="O556" t="inlineStr">
        <is>
          <t>JJH</t>
        </is>
      </c>
      <c r="Q556" s="62">
        <f>IF(C556="Yes", 1, IF(C556="no", 0, IF(C556= "tardy", SUM(J556/I556),"")))</f>
        <v/>
      </c>
      <c r="R556">
        <f>LEFT(Train_Log[[#This Row],[COURSE NAME:]],FIND(" - ", Train_Log[[#This Row],[COURSE NAME:]]) -1)</f>
        <v/>
      </c>
      <c r="S556">
        <f>MID(Train_Log[[#This Row],[COURSE NAME:]],FIND(" - ", Train_Log[[#This Row],[COURSE NAME:]]), 13)</f>
        <v/>
      </c>
      <c r="T556">
        <f>MID(E556, FIND(" - ", E556) + 3, LEN(E556)) &amp; "_" &amp; TEXT(F556, "yyyymmdd") &amp; "_" &amp; TEXT(H556, "yyyymmdd")</f>
        <v/>
      </c>
    </row>
    <row r="557">
      <c r="B557" t="inlineStr">
        <is>
          <t>EE152</t>
        </is>
      </c>
      <c r="C557" t="inlineStr">
        <is>
          <t>No</t>
        </is>
      </c>
      <c r="D557" t="inlineStr">
        <is>
          <t>4480464</t>
        </is>
      </c>
      <c r="E557" t="inlineStr">
        <is>
          <t>SUPPORT - TRAINING - PTSP TRAINING</t>
        </is>
      </c>
      <c r="F557" s="111" t="n">
        <v>45336</v>
      </c>
      <c r="G557" s="111" t="n">
        <v>45338</v>
      </c>
      <c r="H557" s="111" t="n">
        <v>45338</v>
      </c>
      <c r="I557" t="n">
        <v>8</v>
      </c>
      <c r="J557" t="n">
        <v>8</v>
      </c>
      <c r="K557" t="inlineStr">
        <is>
          <t>TR 8</t>
        </is>
      </c>
      <c r="L557" t="inlineStr">
        <is>
          <t>--</t>
        </is>
      </c>
      <c r="M557" t="inlineStr">
        <is>
          <t>--</t>
        </is>
      </c>
      <c r="N557" t="inlineStr">
        <is>
          <t>--</t>
        </is>
      </c>
      <c r="O557" t="inlineStr">
        <is>
          <t>JJH</t>
        </is>
      </c>
      <c r="Q557" s="62">
        <f>IF(C557="Yes", 1, IF(C557="no", 0, IF(C557= "tardy", SUM(J557/I557),"")))</f>
        <v/>
      </c>
      <c r="R557">
        <f>LEFT(Train_Log[[#This Row],[COURSE NAME:]],FIND(" - ", Train_Log[[#This Row],[COURSE NAME:]]) -1)</f>
        <v/>
      </c>
      <c r="S557">
        <f>MID(Train_Log[[#This Row],[COURSE NAME:]],FIND(" - ", Train_Log[[#This Row],[COURSE NAME:]]), 13)</f>
        <v/>
      </c>
      <c r="T557">
        <f>MID(E557, FIND(" - ", E557) + 3, LEN(E557)) &amp; "_" &amp; TEXT(F557, "yyyymmdd") &amp; "_" &amp; TEXT(H557, "yyyymmdd")</f>
        <v/>
      </c>
    </row>
    <row r="558">
      <c r="B558" t="inlineStr">
        <is>
          <t>EE39</t>
        </is>
      </c>
      <c r="C558" t="inlineStr">
        <is>
          <t>No</t>
        </is>
      </c>
      <c r="D558" t="inlineStr">
        <is>
          <t>4903091</t>
        </is>
      </c>
      <c r="E558" t="inlineStr">
        <is>
          <t>LWOP - HCES SUPERUSER TRAINING</t>
        </is>
      </c>
      <c r="F558" s="111" t="n">
        <v>45700</v>
      </c>
      <c r="G558" s="111" t="n">
        <v>45700</v>
      </c>
      <c r="H558" s="111" t="n">
        <v>45700</v>
      </c>
      <c r="I558" t="n">
        <v>8</v>
      </c>
      <c r="J558" t="n">
        <v>8</v>
      </c>
      <c r="K558" t="inlineStr">
        <is>
          <t>TR 5</t>
        </is>
      </c>
      <c r="L558" t="inlineStr">
        <is>
          <t>TR 3</t>
        </is>
      </c>
      <c r="M558" t="inlineStr">
        <is>
          <t>--</t>
        </is>
      </c>
      <c r="N558" t="inlineStr">
        <is>
          <t>--</t>
        </is>
      </c>
      <c r="O558" t="inlineStr">
        <is>
          <t>JJH</t>
        </is>
      </c>
      <c r="Q558" s="62">
        <f>IF(C558="Yes", 1, IF(C558="no", 0, IF(C558= "tardy", SUM(J558/I558),"")))</f>
        <v/>
      </c>
      <c r="R558">
        <f>LEFT(Train_Log[[#This Row],[COURSE NAME:]],FIND(" - ", Train_Log[[#This Row],[COURSE NAME:]]) -1)</f>
        <v/>
      </c>
      <c r="S558">
        <f>MID(Train_Log[[#This Row],[COURSE NAME:]],FIND(" - ", Train_Log[[#This Row],[COURSE NAME:]]), 13)</f>
        <v/>
      </c>
      <c r="T558">
        <f>MID(E558, FIND(" - ", E558) + 3, LEN(E558)) &amp; "_" &amp; TEXT(F558, "yyyymmdd") &amp; "_" &amp; TEXT(H558, "yyyymmdd")</f>
        <v/>
      </c>
    </row>
    <row r="559">
      <c r="B559" t="inlineStr">
        <is>
          <t>EE119</t>
        </is>
      </c>
      <c r="C559" t="inlineStr">
        <is>
          <t>No</t>
        </is>
      </c>
      <c r="D559" t="inlineStr">
        <is>
          <t>4585652</t>
        </is>
      </c>
      <c r="E559" t="inlineStr">
        <is>
          <t>PHONES - EMPLOYMENT VERIFICATION</t>
        </is>
      </c>
      <c r="F559" s="111" t="n">
        <v>45705</v>
      </c>
      <c r="G559" s="111" t="n">
        <v>45705</v>
      </c>
      <c r="H559" s="111" t="n">
        <v>45705</v>
      </c>
      <c r="I559" t="n">
        <v>2</v>
      </c>
      <c r="J559" t="n">
        <v>2</v>
      </c>
      <c r="K559" t="inlineStr">
        <is>
          <t>TR 10</t>
        </is>
      </c>
      <c r="L559" t="inlineStr">
        <is>
          <t>--</t>
        </is>
      </c>
      <c r="M559" t="inlineStr">
        <is>
          <t>--</t>
        </is>
      </c>
      <c r="N559" t="inlineStr">
        <is>
          <t>--</t>
        </is>
      </c>
      <c r="O559" t="inlineStr">
        <is>
          <t>JJH</t>
        </is>
      </c>
      <c r="Q559" s="62">
        <f>IF(C559="Yes", 1, IF(C559="no", 0, IF(C559= "tardy", SUM(J559/I559),"")))</f>
        <v/>
      </c>
      <c r="R559">
        <f>LEFT(Train_Log[[#This Row],[COURSE NAME:]],FIND(" - ", Train_Log[[#This Row],[COURSE NAME:]]) -1)</f>
        <v/>
      </c>
      <c r="S559">
        <f>MID(Train_Log[[#This Row],[COURSE NAME:]],FIND(" - ", Train_Log[[#This Row],[COURSE NAME:]]), 13)</f>
        <v/>
      </c>
      <c r="T559">
        <f>MID(E559, FIND(" - ", E559) + 3, LEN(E559)) &amp; "_" &amp; TEXT(F559, "yyyymmdd") &amp; "_" &amp; TEXT(H559, "yyyymmdd")</f>
        <v/>
      </c>
    </row>
    <row r="560">
      <c r="B560" t="inlineStr">
        <is>
          <t>EE43</t>
        </is>
      </c>
      <c r="C560" t="inlineStr">
        <is>
          <t>No</t>
        </is>
      </c>
      <c r="D560" t="inlineStr">
        <is>
          <t>5593530</t>
        </is>
      </c>
      <c r="E560" t="inlineStr">
        <is>
          <t>PHONES - LWOP</t>
        </is>
      </c>
      <c r="F560" s="111" t="n">
        <v>45755</v>
      </c>
      <c r="G560" s="111" t="n">
        <v>45755</v>
      </c>
      <c r="H560" s="111" t="n">
        <v>45755</v>
      </c>
      <c r="I560" t="n">
        <v>8</v>
      </c>
      <c r="J560" t="n">
        <v>8</v>
      </c>
      <c r="K560" t="inlineStr">
        <is>
          <t>TR 3</t>
        </is>
      </c>
      <c r="L560" t="inlineStr">
        <is>
          <t>TR 8</t>
        </is>
      </c>
      <c r="M560" t="inlineStr">
        <is>
          <t>--</t>
        </is>
      </c>
      <c r="N560" t="inlineStr">
        <is>
          <t>--</t>
        </is>
      </c>
      <c r="O560" t="inlineStr">
        <is>
          <t>JJH</t>
        </is>
      </c>
      <c r="Q560" s="62">
        <f>IF(C560="Yes", 1, IF(C560="no", 0, IF(C560= "tardy", SUM(J560/I560),"")))</f>
        <v/>
      </c>
      <c r="R560">
        <f>LEFT(Train_Log[[#This Row],[COURSE NAME:]],FIND(" - ", Train_Log[[#This Row],[COURSE NAME:]]) -1)</f>
        <v/>
      </c>
      <c r="S560">
        <f>MID(Train_Log[[#This Row],[COURSE NAME:]],FIND(" - ", Train_Log[[#This Row],[COURSE NAME:]]), 13)</f>
        <v/>
      </c>
      <c r="T560">
        <f>MID(E560, FIND(" - ", E560) + 3, LEN(E560)) &amp; "_" &amp; TEXT(F560, "yyyymmdd") &amp; "_" &amp; TEXT(H560, "yyyymmdd")</f>
        <v/>
      </c>
    </row>
    <row r="561">
      <c r="B561" t="inlineStr">
        <is>
          <t>EE92</t>
        </is>
      </c>
      <c r="C561" t="inlineStr">
        <is>
          <t>No</t>
        </is>
      </c>
      <c r="D561" t="inlineStr">
        <is>
          <t>5938859</t>
        </is>
      </c>
      <c r="E561" t="inlineStr">
        <is>
          <t>PHONES - BENEFITS</t>
        </is>
      </c>
      <c r="F561" s="111" t="n">
        <v>45523</v>
      </c>
      <c r="G561" s="111" t="n">
        <v>45524</v>
      </c>
      <c r="H561" s="111" t="n">
        <v>45524</v>
      </c>
      <c r="I561" t="n">
        <v>3</v>
      </c>
      <c r="J561" t="n">
        <v>3</v>
      </c>
      <c r="K561" t="inlineStr">
        <is>
          <t>TR 6</t>
        </is>
      </c>
      <c r="L561" t="inlineStr">
        <is>
          <t>TR 4</t>
        </is>
      </c>
      <c r="M561" t="inlineStr">
        <is>
          <t>--</t>
        </is>
      </c>
      <c r="N561" t="inlineStr">
        <is>
          <t>--</t>
        </is>
      </c>
      <c r="O561" t="inlineStr">
        <is>
          <t>JJH</t>
        </is>
      </c>
      <c r="Q561" s="62">
        <f>IF(C561="Yes", 1, IF(C561="no", 0, IF(C561= "tardy", SUM(J561/I561),"")))</f>
        <v/>
      </c>
      <c r="R561">
        <f>LEFT(Train_Log[[#This Row],[COURSE NAME:]],FIND(" - ", Train_Log[[#This Row],[COURSE NAME:]]) -1)</f>
        <v/>
      </c>
      <c r="S561">
        <f>MID(Train_Log[[#This Row],[COURSE NAME:]],FIND(" - ", Train_Log[[#This Row],[COURSE NAME:]]), 13)</f>
        <v/>
      </c>
      <c r="T561">
        <f>MID(E561, FIND(" - ", E561) + 3, LEN(E561)) &amp; "_" &amp; TEXT(F561, "yyyymmdd") &amp; "_" &amp; TEXT(H561, "yyyymmdd")</f>
        <v/>
      </c>
    </row>
    <row r="562">
      <c r="B562" t="inlineStr">
        <is>
          <t>EE11</t>
        </is>
      </c>
      <c r="C562" t="inlineStr">
        <is>
          <t>No</t>
        </is>
      </c>
      <c r="D562" t="inlineStr">
        <is>
          <t>4364647</t>
        </is>
      </c>
      <c r="E562" t="inlineStr">
        <is>
          <t>SUPPORT - TRAINING - PTSP TRAINING</t>
        </is>
      </c>
      <c r="F562" s="111" t="n">
        <v>45668</v>
      </c>
      <c r="G562" s="111" t="n">
        <v>45669</v>
      </c>
      <c r="H562" s="111" t="n">
        <v>45669</v>
      </c>
      <c r="I562" t="n">
        <v>4</v>
      </c>
      <c r="J562" t="n">
        <v>4</v>
      </c>
      <c r="K562" t="inlineStr">
        <is>
          <t>TR 1</t>
        </is>
      </c>
      <c r="L562" t="inlineStr">
        <is>
          <t>TR 1</t>
        </is>
      </c>
      <c r="M562" t="inlineStr">
        <is>
          <t>--</t>
        </is>
      </c>
      <c r="N562" t="inlineStr">
        <is>
          <t>--</t>
        </is>
      </c>
      <c r="O562" t="inlineStr">
        <is>
          <t>JJH</t>
        </is>
      </c>
      <c r="Q562" s="62">
        <f>IF(C562="Yes", 1, IF(C562="no", 0, IF(C562= "tardy", SUM(J562/I562),"")))</f>
        <v/>
      </c>
      <c r="R562">
        <f>LEFT(Train_Log[[#This Row],[COURSE NAME:]],FIND(" - ", Train_Log[[#This Row],[COURSE NAME:]]) -1)</f>
        <v/>
      </c>
      <c r="S562">
        <f>MID(Train_Log[[#This Row],[COURSE NAME:]],FIND(" - ", Train_Log[[#This Row],[COURSE NAME:]]), 13)</f>
        <v/>
      </c>
      <c r="T562">
        <f>MID(E562, FIND(" - ", E562) + 3, LEN(E562)) &amp; "_" &amp; TEXT(F562, "yyyymmdd") &amp; "_" &amp; TEXT(H562, "yyyymmdd")</f>
        <v/>
      </c>
    </row>
    <row r="563">
      <c r="B563" t="inlineStr">
        <is>
          <t>EE167</t>
        </is>
      </c>
      <c r="C563" t="inlineStr">
        <is>
          <t>No</t>
        </is>
      </c>
      <c r="D563" t="inlineStr">
        <is>
          <t>6129371</t>
        </is>
      </c>
      <c r="E563" t="inlineStr">
        <is>
          <t>LWOP - HCES SUPERUSER TRAINING</t>
        </is>
      </c>
      <c r="F563" s="111" t="n">
        <v>45404</v>
      </c>
      <c r="G563" s="111" t="n">
        <v>45408</v>
      </c>
      <c r="H563" s="111" t="n">
        <v>45408</v>
      </c>
      <c r="I563" t="n">
        <v>3</v>
      </c>
      <c r="J563" t="n">
        <v>3</v>
      </c>
      <c r="K563" t="inlineStr">
        <is>
          <t>TR 5</t>
        </is>
      </c>
      <c r="L563" t="inlineStr">
        <is>
          <t>TR 10</t>
        </is>
      </c>
      <c r="M563" t="inlineStr">
        <is>
          <t>--</t>
        </is>
      </c>
      <c r="N563" t="inlineStr">
        <is>
          <t>--</t>
        </is>
      </c>
      <c r="O563" t="inlineStr">
        <is>
          <t>JJH</t>
        </is>
      </c>
      <c r="Q563" s="62">
        <f>IF(C563="Yes", 1, IF(C563="no", 0, IF(C563= "tardy", SUM(J563/I563),"")))</f>
        <v/>
      </c>
      <c r="R563">
        <f>LEFT(Train_Log[[#This Row],[COURSE NAME:]],FIND(" - ", Train_Log[[#This Row],[COURSE NAME:]]) -1)</f>
        <v/>
      </c>
      <c r="S563">
        <f>MID(Train_Log[[#This Row],[COURSE NAME:]],FIND(" - ", Train_Log[[#This Row],[COURSE NAME:]]), 13)</f>
        <v/>
      </c>
      <c r="T563">
        <f>MID(E563, FIND(" - ", E563) + 3, LEN(E563)) &amp; "_" &amp; TEXT(F563, "yyyymmdd") &amp; "_" &amp; TEXT(H563, "yyyymmdd")</f>
        <v/>
      </c>
    </row>
    <row r="564">
      <c r="B564" t="inlineStr">
        <is>
          <t>EE140</t>
        </is>
      </c>
      <c r="C564" t="inlineStr">
        <is>
          <t>No</t>
        </is>
      </c>
      <c r="D564" t="inlineStr">
        <is>
          <t>5770667</t>
        </is>
      </c>
      <c r="E564" t="inlineStr">
        <is>
          <t>PHONES - LWOP</t>
        </is>
      </c>
      <c r="F564" s="111" t="n">
        <v>45684</v>
      </c>
      <c r="G564" s="111" t="n">
        <v>45688</v>
      </c>
      <c r="H564" s="111" t="n">
        <v>45688</v>
      </c>
      <c r="I564" t="n">
        <v>8</v>
      </c>
      <c r="J564" t="n">
        <v>8</v>
      </c>
      <c r="K564" t="inlineStr">
        <is>
          <t>TR 2</t>
        </is>
      </c>
      <c r="L564" t="inlineStr">
        <is>
          <t>TR 9</t>
        </is>
      </c>
      <c r="M564" t="inlineStr">
        <is>
          <t>--</t>
        </is>
      </c>
      <c r="N564" t="inlineStr">
        <is>
          <t>--</t>
        </is>
      </c>
      <c r="O564" t="inlineStr">
        <is>
          <t>JJH</t>
        </is>
      </c>
      <c r="Q564" s="62">
        <f>IF(C564="Yes", 1, IF(C564="no", 0, IF(C564= "tardy", SUM(J564/I564),"")))</f>
        <v/>
      </c>
      <c r="R564">
        <f>LEFT(Train_Log[[#This Row],[COURSE NAME:]],FIND(" - ", Train_Log[[#This Row],[COURSE NAME:]]) -1)</f>
        <v/>
      </c>
      <c r="S564">
        <f>MID(Train_Log[[#This Row],[COURSE NAME:]],FIND(" - ", Train_Log[[#This Row],[COURSE NAME:]]), 13)</f>
        <v/>
      </c>
      <c r="T564">
        <f>MID(E564, FIND(" - ", E564) + 3, LEN(E564)) &amp; "_" &amp; TEXT(F564, "yyyymmdd") &amp; "_" &amp; TEXT(H564, "yyyymmdd")</f>
        <v/>
      </c>
    </row>
    <row r="565">
      <c r="B565" t="inlineStr">
        <is>
          <t>EE65</t>
        </is>
      </c>
      <c r="C565" t="inlineStr">
        <is>
          <t>No</t>
        </is>
      </c>
      <c r="D565" t="inlineStr">
        <is>
          <t>6773539</t>
        </is>
      </c>
      <c r="E565" t="inlineStr">
        <is>
          <t>LWOP - HCES SU FACILITATION TRAINING</t>
        </is>
      </c>
      <c r="F565" s="111" t="n">
        <v>45527</v>
      </c>
      <c r="G565" s="111" t="n">
        <v>45529</v>
      </c>
      <c r="H565" s="111" t="n">
        <v>45529</v>
      </c>
      <c r="I565" t="n">
        <v>3</v>
      </c>
      <c r="J565" t="n">
        <v>3</v>
      </c>
      <c r="K565" t="inlineStr">
        <is>
          <t>TR 8</t>
        </is>
      </c>
      <c r="L565" t="inlineStr">
        <is>
          <t>TR 8</t>
        </is>
      </c>
      <c r="M565" t="inlineStr">
        <is>
          <t>--</t>
        </is>
      </c>
      <c r="N565" t="inlineStr">
        <is>
          <t>--</t>
        </is>
      </c>
      <c r="O565" t="inlineStr">
        <is>
          <t>JJH</t>
        </is>
      </c>
      <c r="Q565" s="62">
        <f>IF(C565="Yes", 1, IF(C565="no", 0, IF(C565= "tardy", SUM(J565/I565),"")))</f>
        <v/>
      </c>
      <c r="R565">
        <f>LEFT(Train_Log[[#This Row],[COURSE NAME:]],FIND(" - ", Train_Log[[#This Row],[COURSE NAME:]]) -1)</f>
        <v/>
      </c>
      <c r="S565">
        <f>MID(Train_Log[[#This Row],[COURSE NAME:]],FIND(" - ", Train_Log[[#This Row],[COURSE NAME:]]), 13)</f>
        <v/>
      </c>
      <c r="T565">
        <f>MID(E565, FIND(" - ", E565) + 3, LEN(E565)) &amp; "_" &amp; TEXT(F565, "yyyymmdd") &amp; "_" &amp; TEXT(H565, "yyyymmdd")</f>
        <v/>
      </c>
    </row>
    <row r="566">
      <c r="B566" t="inlineStr">
        <is>
          <t>EE155</t>
        </is>
      </c>
      <c r="C566" t="inlineStr">
        <is>
          <t>No</t>
        </is>
      </c>
      <c r="D566" t="inlineStr">
        <is>
          <t>5119145</t>
        </is>
      </c>
      <c r="E566" t="inlineStr">
        <is>
          <t>PHONES - BENEFITS</t>
        </is>
      </c>
      <c r="F566" s="111" t="n">
        <v>45812</v>
      </c>
      <c r="G566" s="111" t="n">
        <v>45812</v>
      </c>
      <c r="H566" s="111" t="n">
        <v>45812</v>
      </c>
      <c r="I566" t="n">
        <v>2</v>
      </c>
      <c r="J566" t="n">
        <v>2</v>
      </c>
      <c r="K566" t="inlineStr">
        <is>
          <t>TR 2</t>
        </is>
      </c>
      <c r="L566" t="inlineStr">
        <is>
          <t>TR 9</t>
        </is>
      </c>
      <c r="M566" t="inlineStr">
        <is>
          <t>--</t>
        </is>
      </c>
      <c r="N566" t="inlineStr">
        <is>
          <t>--</t>
        </is>
      </c>
      <c r="O566" t="inlineStr">
        <is>
          <t>JJH</t>
        </is>
      </c>
      <c r="Q566" s="62">
        <f>IF(C566="Yes", 1, IF(C566="no", 0, IF(C566= "tardy", SUM(J566/I566),"")))</f>
        <v/>
      </c>
      <c r="R566">
        <f>LEFT(Train_Log[[#This Row],[COURSE NAME:]],FIND(" - ", Train_Log[[#This Row],[COURSE NAME:]]) -1)</f>
        <v/>
      </c>
      <c r="S566">
        <f>MID(Train_Log[[#This Row],[COURSE NAME:]],FIND(" - ", Train_Log[[#This Row],[COURSE NAME:]]), 13)</f>
        <v/>
      </c>
      <c r="T566">
        <f>MID(E566, FIND(" - ", E566) + 3, LEN(E566)) &amp; "_" &amp; TEXT(F566, "yyyymmdd") &amp; "_" &amp; TEXT(H566, "yyyymmdd")</f>
        <v/>
      </c>
    </row>
    <row r="567">
      <c r="B567" t="inlineStr">
        <is>
          <t>EE165</t>
        </is>
      </c>
      <c r="C567" t="inlineStr">
        <is>
          <t>No</t>
        </is>
      </c>
      <c r="D567" t="inlineStr">
        <is>
          <t>6099610</t>
        </is>
      </c>
      <c r="E567" t="inlineStr">
        <is>
          <t>RTR - EFORM SEPARATIONS TRAINING</t>
        </is>
      </c>
      <c r="F567" s="111" t="n">
        <v>45515</v>
      </c>
      <c r="G567" s="111" t="n">
        <v>45515</v>
      </c>
      <c r="H567" s="111" t="n">
        <v>45515</v>
      </c>
      <c r="I567" t="n">
        <v>3</v>
      </c>
      <c r="J567" t="n">
        <v>3</v>
      </c>
      <c r="K567" t="inlineStr">
        <is>
          <t>TR 10</t>
        </is>
      </c>
      <c r="L567" t="inlineStr">
        <is>
          <t>TR 2</t>
        </is>
      </c>
      <c r="M567" t="inlineStr">
        <is>
          <t>--</t>
        </is>
      </c>
      <c r="N567" t="inlineStr">
        <is>
          <t>--</t>
        </is>
      </c>
      <c r="O567" t="inlineStr">
        <is>
          <t>JJH</t>
        </is>
      </c>
      <c r="Q567" s="62">
        <f>IF(C567="Yes", 1, IF(C567="no", 0, IF(C567= "tardy", SUM(J567/I567),"")))</f>
        <v/>
      </c>
      <c r="R567">
        <f>LEFT(Train_Log[[#This Row],[COURSE NAME:]],FIND(" - ", Train_Log[[#This Row],[COURSE NAME:]]) -1)</f>
        <v/>
      </c>
      <c r="S567">
        <f>MID(Train_Log[[#This Row],[COURSE NAME:]],FIND(" - ", Train_Log[[#This Row],[COURSE NAME:]]), 13)</f>
        <v/>
      </c>
      <c r="T567">
        <f>MID(E567, FIND(" - ", E567) + 3, LEN(E567)) &amp; "_" &amp; TEXT(F567, "yyyymmdd") &amp; "_" &amp; TEXT(H567, "yyyymmdd")</f>
        <v/>
      </c>
    </row>
    <row r="568">
      <c r="B568" t="inlineStr">
        <is>
          <t>EE170</t>
        </is>
      </c>
      <c r="C568" t="inlineStr">
        <is>
          <t>No</t>
        </is>
      </c>
      <c r="D568" t="inlineStr">
        <is>
          <t>5251768</t>
        </is>
      </c>
      <c r="E568" t="inlineStr">
        <is>
          <t>SUPPORT - TRAINING - PTSP TRAINING</t>
        </is>
      </c>
      <c r="F568" s="111" t="n">
        <v>45723</v>
      </c>
      <c r="G568" s="111" t="n">
        <v>45723</v>
      </c>
      <c r="H568" s="111" t="n">
        <v>45723</v>
      </c>
      <c r="I568" t="n">
        <v>4</v>
      </c>
      <c r="J568" t="n">
        <v>4</v>
      </c>
      <c r="K568" t="inlineStr">
        <is>
          <t>TR 8</t>
        </is>
      </c>
      <c r="L568" t="inlineStr">
        <is>
          <t>TR 8</t>
        </is>
      </c>
      <c r="M568" t="inlineStr">
        <is>
          <t>--</t>
        </is>
      </c>
      <c r="N568" t="inlineStr">
        <is>
          <t>--</t>
        </is>
      </c>
      <c r="O568" t="inlineStr">
        <is>
          <t>JJH</t>
        </is>
      </c>
      <c r="Q568" s="62">
        <f>IF(C568="Yes", 1, IF(C568="no", 0, IF(C568= "tardy", SUM(J568/I568),"")))</f>
        <v/>
      </c>
      <c r="R568">
        <f>LEFT(Train_Log[[#This Row],[COURSE NAME:]],FIND(" - ", Train_Log[[#This Row],[COURSE NAME:]]) -1)</f>
        <v/>
      </c>
      <c r="S568">
        <f>MID(Train_Log[[#This Row],[COURSE NAME:]],FIND(" - ", Train_Log[[#This Row],[COURSE NAME:]]), 13)</f>
        <v/>
      </c>
      <c r="T568">
        <f>MID(E568, FIND(" - ", E568) + 3, LEN(E568)) &amp; "_" &amp; TEXT(F568, "yyyymmdd") &amp; "_" &amp; TEXT(H568, "yyyymmdd")</f>
        <v/>
      </c>
    </row>
    <row r="569">
      <c r="B569" t="inlineStr">
        <is>
          <t>EE54</t>
        </is>
      </c>
      <c r="C569" t="inlineStr">
        <is>
          <t>No</t>
        </is>
      </c>
      <c r="D569" t="inlineStr">
        <is>
          <t>4330511</t>
        </is>
      </c>
      <c r="E569" t="inlineStr">
        <is>
          <t>PHONES - LWOP</t>
        </is>
      </c>
      <c r="F569" s="111" t="n">
        <v>45719</v>
      </c>
      <c r="G569" s="111" t="n">
        <v>45719</v>
      </c>
      <c r="H569" s="111" t="n">
        <v>45719</v>
      </c>
      <c r="I569" t="n">
        <v>2</v>
      </c>
      <c r="J569" t="n">
        <v>2</v>
      </c>
      <c r="K569" t="inlineStr">
        <is>
          <t>TR 10</t>
        </is>
      </c>
      <c r="L569" t="inlineStr">
        <is>
          <t>TR 10</t>
        </is>
      </c>
      <c r="M569" t="inlineStr">
        <is>
          <t>--</t>
        </is>
      </c>
      <c r="N569" t="inlineStr">
        <is>
          <t>--</t>
        </is>
      </c>
      <c r="O569" t="inlineStr">
        <is>
          <t>JJH</t>
        </is>
      </c>
      <c r="Q569" s="62">
        <f>IF(C569="Yes", 1, IF(C569="no", 0, IF(C569= "tardy", SUM(J569/I569),"")))</f>
        <v/>
      </c>
      <c r="R569">
        <f>LEFT(Train_Log[[#This Row],[COURSE NAME:]],FIND(" - ", Train_Log[[#This Row],[COURSE NAME:]]) -1)</f>
        <v/>
      </c>
      <c r="S569">
        <f>MID(Train_Log[[#This Row],[COURSE NAME:]],FIND(" - ", Train_Log[[#This Row],[COURSE NAME:]]), 13)</f>
        <v/>
      </c>
      <c r="T569">
        <f>MID(E569, FIND(" - ", E569) + 3, LEN(E569)) &amp; "_" &amp; TEXT(F569, "yyyymmdd") &amp; "_" &amp; TEXT(H569, "yyyymmdd")</f>
        <v/>
      </c>
    </row>
    <row r="570">
      <c r="B570" t="inlineStr">
        <is>
          <t>EE42</t>
        </is>
      </c>
      <c r="C570" t="inlineStr">
        <is>
          <t>No</t>
        </is>
      </c>
      <c r="D570" t="inlineStr">
        <is>
          <t>4389004</t>
        </is>
      </c>
      <c r="E570" t="inlineStr">
        <is>
          <t>PHONES - LWOP</t>
        </is>
      </c>
      <c r="F570" s="111" t="n">
        <v>45823</v>
      </c>
      <c r="G570" s="111" t="n">
        <v>45823</v>
      </c>
      <c r="H570" s="111" t="n">
        <v>45823</v>
      </c>
      <c r="I570" t="n">
        <v>2</v>
      </c>
      <c r="J570" t="n">
        <v>2</v>
      </c>
      <c r="K570" t="inlineStr">
        <is>
          <t>TR 1</t>
        </is>
      </c>
      <c r="L570" t="inlineStr">
        <is>
          <t>TR 3</t>
        </is>
      </c>
      <c r="M570" t="inlineStr">
        <is>
          <t>--</t>
        </is>
      </c>
      <c r="N570" t="inlineStr">
        <is>
          <t>--</t>
        </is>
      </c>
      <c r="O570" t="inlineStr">
        <is>
          <t>JJH</t>
        </is>
      </c>
      <c r="Q570" s="62">
        <f>IF(C570="Yes", 1, IF(C570="no", 0, IF(C570= "tardy", SUM(J570/I570),"")))</f>
        <v/>
      </c>
      <c r="R570">
        <f>LEFT(Train_Log[[#This Row],[COURSE NAME:]],FIND(" - ", Train_Log[[#This Row],[COURSE NAME:]]) -1)</f>
        <v/>
      </c>
      <c r="S570">
        <f>MID(Train_Log[[#This Row],[COURSE NAME:]],FIND(" - ", Train_Log[[#This Row],[COURSE NAME:]]), 13)</f>
        <v/>
      </c>
      <c r="T570">
        <f>MID(E570, FIND(" - ", E570) + 3, LEN(E570)) &amp; "_" &amp; TEXT(F570, "yyyymmdd") &amp; "_" &amp; TEXT(H570, "yyyymmdd")</f>
        <v/>
      </c>
    </row>
    <row r="571">
      <c r="B571" t="inlineStr">
        <is>
          <t>EE67</t>
        </is>
      </c>
      <c r="C571" t="inlineStr">
        <is>
          <t>No</t>
        </is>
      </c>
      <c r="D571" t="inlineStr">
        <is>
          <t>5213781</t>
        </is>
      </c>
      <c r="E571" t="inlineStr">
        <is>
          <t>PHONES - LWOP</t>
        </is>
      </c>
      <c r="F571" s="111" t="n">
        <v>45714</v>
      </c>
      <c r="G571" s="111" t="n">
        <v>45716</v>
      </c>
      <c r="H571" s="111" t="n">
        <v>45716</v>
      </c>
      <c r="I571" t="n">
        <v>2</v>
      </c>
      <c r="J571" t="n">
        <v>2</v>
      </c>
      <c r="K571" t="inlineStr">
        <is>
          <t>TR 5</t>
        </is>
      </c>
      <c r="L571" t="inlineStr">
        <is>
          <t>TR 2</t>
        </is>
      </c>
      <c r="M571" t="inlineStr">
        <is>
          <t>--</t>
        </is>
      </c>
      <c r="N571" t="inlineStr">
        <is>
          <t>--</t>
        </is>
      </c>
      <c r="O571" t="inlineStr">
        <is>
          <t>JJH</t>
        </is>
      </c>
      <c r="Q571" s="62">
        <f>IF(C571="Yes", 1, IF(C571="no", 0, IF(C571= "tardy", SUM(J571/I571),"")))</f>
        <v/>
      </c>
      <c r="R571">
        <f>LEFT(Train_Log[[#This Row],[COURSE NAME:]],FIND(" - ", Train_Log[[#This Row],[COURSE NAME:]]) -1)</f>
        <v/>
      </c>
      <c r="S571">
        <f>MID(Train_Log[[#This Row],[COURSE NAME:]],FIND(" - ", Train_Log[[#This Row],[COURSE NAME:]]), 13)</f>
        <v/>
      </c>
      <c r="T571">
        <f>MID(E571, FIND(" - ", E571) + 3, LEN(E571)) &amp; "_" &amp; TEXT(F571, "yyyymmdd") &amp; "_" &amp; TEXT(H571, "yyyymmdd")</f>
        <v/>
      </c>
    </row>
    <row r="572">
      <c r="B572" t="inlineStr">
        <is>
          <t>EE56</t>
        </is>
      </c>
      <c r="C572" t="inlineStr">
        <is>
          <t>No</t>
        </is>
      </c>
      <c r="D572" t="inlineStr">
        <is>
          <t>5229678</t>
        </is>
      </c>
      <c r="E572" t="inlineStr">
        <is>
          <t>OPTIONAL RETIREMENTS - MAILBUILD</t>
        </is>
      </c>
      <c r="F572" s="111" t="n">
        <v>45781</v>
      </c>
      <c r="G572" s="111" t="n">
        <v>45782</v>
      </c>
      <c r="H572" s="111" t="n">
        <v>45782</v>
      </c>
      <c r="I572" t="n">
        <v>4</v>
      </c>
      <c r="J572" t="n">
        <v>4</v>
      </c>
      <c r="K572" t="inlineStr">
        <is>
          <t>TR 10</t>
        </is>
      </c>
      <c r="L572" t="inlineStr">
        <is>
          <t>TR 3</t>
        </is>
      </c>
      <c r="M572" t="inlineStr">
        <is>
          <t>--</t>
        </is>
      </c>
      <c r="N572" t="inlineStr">
        <is>
          <t>--</t>
        </is>
      </c>
      <c r="O572" t="inlineStr">
        <is>
          <t>JJH</t>
        </is>
      </c>
      <c r="Q572" s="62">
        <f>IF(C572="Yes", 1, IF(C572="no", 0, IF(C572= "tardy", SUM(J572/I572),"")))</f>
        <v/>
      </c>
      <c r="R572">
        <f>LEFT(Train_Log[[#This Row],[COURSE NAME:]],FIND(" - ", Train_Log[[#This Row],[COURSE NAME:]]) -1)</f>
        <v/>
      </c>
      <c r="S572">
        <f>MID(Train_Log[[#This Row],[COURSE NAME:]],FIND(" - ", Train_Log[[#This Row],[COURSE NAME:]]), 13)</f>
        <v/>
      </c>
      <c r="T572">
        <f>MID(E572, FIND(" - ", E572) + 3, LEN(E572)) &amp; "_" &amp; TEXT(F572, "yyyymmdd") &amp; "_" &amp; TEXT(H572, "yyyymmdd")</f>
        <v/>
      </c>
    </row>
    <row r="573">
      <c r="B573" t="inlineStr">
        <is>
          <t>EE150</t>
        </is>
      </c>
      <c r="C573" t="inlineStr">
        <is>
          <t>No</t>
        </is>
      </c>
      <c r="D573" t="inlineStr">
        <is>
          <t>4048154</t>
        </is>
      </c>
      <c r="E573" t="inlineStr">
        <is>
          <t>PHONES - LWOP</t>
        </is>
      </c>
      <c r="F573" s="111" t="n">
        <v>45822</v>
      </c>
      <c r="G573" s="111" t="n">
        <v>45822</v>
      </c>
      <c r="H573" s="111" t="n">
        <v>45822</v>
      </c>
      <c r="I573" t="n">
        <v>3</v>
      </c>
      <c r="J573" t="n">
        <v>3</v>
      </c>
      <c r="K573" t="inlineStr">
        <is>
          <t>TR 8</t>
        </is>
      </c>
      <c r="L573" t="inlineStr">
        <is>
          <t>TR 10</t>
        </is>
      </c>
      <c r="M573" t="inlineStr">
        <is>
          <t>--</t>
        </is>
      </c>
      <c r="N573" t="inlineStr">
        <is>
          <t>--</t>
        </is>
      </c>
      <c r="O573" t="inlineStr">
        <is>
          <t>JJH</t>
        </is>
      </c>
      <c r="Q573" s="62">
        <f>IF(C573="Yes", 1, IF(C573="no", 0, IF(C573= "tardy", SUM(J573/I573),"")))</f>
        <v/>
      </c>
      <c r="R573">
        <f>LEFT(Train_Log[[#This Row],[COURSE NAME:]],FIND(" - ", Train_Log[[#This Row],[COURSE NAME:]]) -1)</f>
        <v/>
      </c>
      <c r="S573">
        <f>MID(Train_Log[[#This Row],[COURSE NAME:]],FIND(" - ", Train_Log[[#This Row],[COURSE NAME:]]), 13)</f>
        <v/>
      </c>
      <c r="T573">
        <f>MID(E573, FIND(" - ", E573) + 3, LEN(E573)) &amp; "_" &amp; TEXT(F573, "yyyymmdd") &amp; "_" &amp; TEXT(H573, "yyyymmdd")</f>
        <v/>
      </c>
    </row>
    <row r="574">
      <c r="B574" t="inlineStr">
        <is>
          <t>EE152</t>
        </is>
      </c>
      <c r="C574" t="inlineStr">
        <is>
          <t>No</t>
        </is>
      </c>
      <c r="D574" t="inlineStr">
        <is>
          <t>4480464</t>
        </is>
      </c>
      <c r="E574" t="inlineStr">
        <is>
          <t>PHONES - EMPLOYMENT VERIFICATION</t>
        </is>
      </c>
      <c r="F574" s="111" t="n">
        <v>45534</v>
      </c>
      <c r="G574" s="111" t="n">
        <v>45535</v>
      </c>
      <c r="H574" s="111" t="n">
        <v>45535</v>
      </c>
      <c r="I574" t="n">
        <v>2</v>
      </c>
      <c r="J574" t="n">
        <v>2</v>
      </c>
      <c r="K574" t="inlineStr">
        <is>
          <t>TR 1</t>
        </is>
      </c>
      <c r="L574" t="inlineStr">
        <is>
          <t>TR 4</t>
        </is>
      </c>
      <c r="M574" t="inlineStr">
        <is>
          <t>--</t>
        </is>
      </c>
      <c r="N574" t="inlineStr">
        <is>
          <t>--</t>
        </is>
      </c>
      <c r="O574" t="inlineStr">
        <is>
          <t>JJH</t>
        </is>
      </c>
      <c r="Q574" s="62">
        <f>IF(C574="Yes", 1, IF(C574="no", 0, IF(C574= "tardy", SUM(J574/I574),"")))</f>
        <v/>
      </c>
      <c r="R574">
        <f>LEFT(Train_Log[[#This Row],[COURSE NAME:]],FIND(" - ", Train_Log[[#This Row],[COURSE NAME:]]) -1)</f>
        <v/>
      </c>
      <c r="S574">
        <f>MID(Train_Log[[#This Row],[COURSE NAME:]],FIND(" - ", Train_Log[[#This Row],[COURSE NAME:]]), 13)</f>
        <v/>
      </c>
      <c r="T574">
        <f>MID(E574, FIND(" - ", E574) + 3, LEN(E574)) &amp; "_" &amp; TEXT(F574, "yyyymmdd") &amp; "_" &amp; TEXT(H574, "yyyymmdd")</f>
        <v/>
      </c>
    </row>
    <row r="575">
      <c r="B575" t="inlineStr">
        <is>
          <t>EE134</t>
        </is>
      </c>
      <c r="C575" t="inlineStr">
        <is>
          <t>No</t>
        </is>
      </c>
      <c r="D575" t="inlineStr">
        <is>
          <t>4197620</t>
        </is>
      </c>
      <c r="E575" t="inlineStr">
        <is>
          <t>LWOP - HCES SU FACILITATION TRAINING</t>
        </is>
      </c>
      <c r="F575" s="111" t="n">
        <v>45452</v>
      </c>
      <c r="G575" s="111" t="n">
        <v>45454</v>
      </c>
      <c r="H575" s="111" t="n">
        <v>45454</v>
      </c>
      <c r="I575" t="n">
        <v>4</v>
      </c>
      <c r="J575" t="n">
        <v>4</v>
      </c>
      <c r="K575" t="inlineStr">
        <is>
          <t>TR 10</t>
        </is>
      </c>
      <c r="L575" t="inlineStr">
        <is>
          <t>TR 10</t>
        </is>
      </c>
      <c r="M575" t="inlineStr">
        <is>
          <t>--</t>
        </is>
      </c>
      <c r="N575" t="inlineStr">
        <is>
          <t>--</t>
        </is>
      </c>
      <c r="O575" t="inlineStr">
        <is>
          <t>JJH</t>
        </is>
      </c>
      <c r="Q575" s="62">
        <f>IF(C575="Yes", 1, IF(C575="no", 0, IF(C575= "tardy", SUM(J575/I575),"")))</f>
        <v/>
      </c>
      <c r="R575">
        <f>LEFT(Train_Log[[#This Row],[COURSE NAME:]],FIND(" - ", Train_Log[[#This Row],[COURSE NAME:]]) -1)</f>
        <v/>
      </c>
      <c r="S575">
        <f>MID(Train_Log[[#This Row],[COURSE NAME:]],FIND(" - ", Train_Log[[#This Row],[COURSE NAME:]]), 13)</f>
        <v/>
      </c>
      <c r="T575">
        <f>MID(E575, FIND(" - ", E575) + 3, LEN(E575)) &amp; "_" &amp; TEXT(F575, "yyyymmdd") &amp; "_" &amp; TEXT(H575, "yyyymmdd")</f>
        <v/>
      </c>
    </row>
    <row r="576">
      <c r="B576" t="inlineStr">
        <is>
          <t>EE10</t>
        </is>
      </c>
      <c r="C576" t="inlineStr">
        <is>
          <t>No</t>
        </is>
      </c>
      <c r="D576" t="inlineStr">
        <is>
          <t>6287433</t>
        </is>
      </c>
      <c r="E576" t="inlineStr">
        <is>
          <t>PHONES - EMPLOYMENT VERIFICATION</t>
        </is>
      </c>
      <c r="F576" s="111" t="n">
        <v>45394</v>
      </c>
      <c r="G576" s="111" t="n">
        <v>45395</v>
      </c>
      <c r="H576" s="111" t="n">
        <v>45395</v>
      </c>
      <c r="I576" t="n">
        <v>8</v>
      </c>
      <c r="J576" t="n">
        <v>8</v>
      </c>
      <c r="K576" t="inlineStr">
        <is>
          <t>TR 9</t>
        </is>
      </c>
      <c r="L576" t="inlineStr">
        <is>
          <t>TR 1</t>
        </is>
      </c>
      <c r="M576" t="inlineStr">
        <is>
          <t>--</t>
        </is>
      </c>
      <c r="N576" t="inlineStr">
        <is>
          <t>--</t>
        </is>
      </c>
      <c r="O576" t="inlineStr">
        <is>
          <t>JJH</t>
        </is>
      </c>
      <c r="Q576" s="62">
        <f>IF(C576="Yes", 1, IF(C576="no", 0, IF(C576= "tardy", SUM(J576/I576),"")))</f>
        <v/>
      </c>
      <c r="R576">
        <f>LEFT(Train_Log[[#This Row],[COURSE NAME:]],FIND(" - ", Train_Log[[#This Row],[COURSE NAME:]]) -1)</f>
        <v/>
      </c>
      <c r="S576">
        <f>MID(Train_Log[[#This Row],[COURSE NAME:]],FIND(" - ", Train_Log[[#This Row],[COURSE NAME:]]), 13)</f>
        <v/>
      </c>
      <c r="T576">
        <f>MID(E576, FIND(" - ", E576) + 3, LEN(E576)) &amp; "_" &amp; TEXT(F576, "yyyymmdd") &amp; "_" &amp; TEXT(H576, "yyyymmdd")</f>
        <v/>
      </c>
    </row>
    <row r="577">
      <c r="B577" t="inlineStr">
        <is>
          <t>EE174</t>
        </is>
      </c>
      <c r="C577" t="inlineStr">
        <is>
          <t>No</t>
        </is>
      </c>
      <c r="D577" t="inlineStr">
        <is>
          <t>4834293</t>
        </is>
      </c>
      <c r="E577" t="inlineStr">
        <is>
          <t>LWOP - HCES SU FACILITATION TRAINING</t>
        </is>
      </c>
      <c r="F577" s="111" t="n">
        <v>45729</v>
      </c>
      <c r="G577" s="111" t="n">
        <v>45729</v>
      </c>
      <c r="H577" s="111" t="n">
        <v>45729</v>
      </c>
      <c r="I577" t="n">
        <v>8</v>
      </c>
      <c r="J577" t="n">
        <v>8</v>
      </c>
      <c r="K577" t="inlineStr">
        <is>
          <t>TR 7</t>
        </is>
      </c>
      <c r="L577" t="inlineStr">
        <is>
          <t>TR 4</t>
        </is>
      </c>
      <c r="M577" t="inlineStr">
        <is>
          <t>--</t>
        </is>
      </c>
      <c r="N577" t="inlineStr">
        <is>
          <t>--</t>
        </is>
      </c>
      <c r="O577" t="inlineStr">
        <is>
          <t>JJH</t>
        </is>
      </c>
      <c r="Q577" s="62">
        <f>IF(C577="Yes", 1, IF(C577="no", 0, IF(C577= "tardy", SUM(J577/I577),"")))</f>
        <v/>
      </c>
      <c r="R577">
        <f>LEFT(Train_Log[[#This Row],[COURSE NAME:]],FIND(" - ", Train_Log[[#This Row],[COURSE NAME:]]) -1)</f>
        <v/>
      </c>
      <c r="S577">
        <f>MID(Train_Log[[#This Row],[COURSE NAME:]],FIND(" - ", Train_Log[[#This Row],[COURSE NAME:]]), 13)</f>
        <v/>
      </c>
      <c r="T577">
        <f>MID(E577, FIND(" - ", E577) + 3, LEN(E577)) &amp; "_" &amp; TEXT(F577, "yyyymmdd") &amp; "_" &amp; TEXT(H577, "yyyymmdd")</f>
        <v/>
      </c>
    </row>
    <row r="578">
      <c r="B578" t="inlineStr">
        <is>
          <t>EE124</t>
        </is>
      </c>
      <c r="C578" t="inlineStr">
        <is>
          <t>No</t>
        </is>
      </c>
      <c r="D578" t="inlineStr">
        <is>
          <t>6451931</t>
        </is>
      </c>
      <c r="E578" t="inlineStr">
        <is>
          <t>LWOP - HCES SU FACILITATION TRAINING</t>
        </is>
      </c>
      <c r="F578" s="111" t="n">
        <v>45657</v>
      </c>
      <c r="G578" s="111" t="n">
        <v>45659</v>
      </c>
      <c r="H578" s="111" t="n">
        <v>45659</v>
      </c>
      <c r="I578" t="n">
        <v>8</v>
      </c>
      <c r="J578" t="n">
        <v>8</v>
      </c>
      <c r="K578" t="inlineStr">
        <is>
          <t>TR 2</t>
        </is>
      </c>
      <c r="L578" t="inlineStr">
        <is>
          <t>TR 7</t>
        </is>
      </c>
      <c r="M578" t="inlineStr">
        <is>
          <t>--</t>
        </is>
      </c>
      <c r="N578" t="inlineStr">
        <is>
          <t>--</t>
        </is>
      </c>
      <c r="O578" t="inlineStr">
        <is>
          <t>JJH</t>
        </is>
      </c>
      <c r="Q578" s="62">
        <f>IF(C578="Yes", 1, IF(C578="no", 0, IF(C578= "tardy", SUM(J578/I578),"")))</f>
        <v/>
      </c>
      <c r="R578">
        <f>LEFT(Train_Log[[#This Row],[COURSE NAME:]],FIND(" - ", Train_Log[[#This Row],[COURSE NAME:]]) -1)</f>
        <v/>
      </c>
      <c r="S578">
        <f>MID(Train_Log[[#This Row],[COURSE NAME:]],FIND(" - ", Train_Log[[#This Row],[COURSE NAME:]]), 13)</f>
        <v/>
      </c>
      <c r="T578">
        <f>MID(E578, FIND(" - ", E578) + 3, LEN(E578)) &amp; "_" &amp; TEXT(F578, "yyyymmdd") &amp; "_" &amp; TEXT(H578, "yyyymmdd")</f>
        <v/>
      </c>
    </row>
    <row r="579">
      <c r="B579" t="inlineStr">
        <is>
          <t>EE35</t>
        </is>
      </c>
      <c r="C579" t="inlineStr">
        <is>
          <t>No</t>
        </is>
      </c>
      <c r="D579" t="inlineStr">
        <is>
          <t>5772573</t>
        </is>
      </c>
      <c r="E579" t="inlineStr">
        <is>
          <t>RTR - EFORM SEPARATIONS TRAINING</t>
        </is>
      </c>
      <c r="F579" s="111" t="n">
        <v>45787</v>
      </c>
      <c r="G579" s="111" t="n">
        <v>45787</v>
      </c>
      <c r="H579" s="111" t="n">
        <v>45787</v>
      </c>
      <c r="I579" t="n">
        <v>2</v>
      </c>
      <c r="J579" t="n">
        <v>2</v>
      </c>
      <c r="K579" t="inlineStr">
        <is>
          <t>TR 5</t>
        </is>
      </c>
      <c r="L579" t="inlineStr">
        <is>
          <t>TR 10</t>
        </is>
      </c>
      <c r="M579" t="inlineStr">
        <is>
          <t>--</t>
        </is>
      </c>
      <c r="N579" t="inlineStr">
        <is>
          <t>--</t>
        </is>
      </c>
      <c r="O579" t="inlineStr">
        <is>
          <t>JJH</t>
        </is>
      </c>
      <c r="Q579" s="62">
        <f>IF(C579="Yes", 1, IF(C579="no", 0, IF(C579= "tardy", SUM(J579/I579),"")))</f>
        <v/>
      </c>
      <c r="R579">
        <f>LEFT(Train_Log[[#This Row],[COURSE NAME:]],FIND(" - ", Train_Log[[#This Row],[COURSE NAME:]]) -1)</f>
        <v/>
      </c>
      <c r="S579">
        <f>MID(Train_Log[[#This Row],[COURSE NAME:]],FIND(" - ", Train_Log[[#This Row],[COURSE NAME:]]), 13)</f>
        <v/>
      </c>
      <c r="T579">
        <f>MID(E579, FIND(" - ", E579) + 3, LEN(E579)) &amp; "_" &amp; TEXT(F579, "yyyymmdd") &amp; "_" &amp; TEXT(H579, "yyyymmdd")</f>
        <v/>
      </c>
    </row>
    <row r="580">
      <c r="B580" t="inlineStr">
        <is>
          <t>EE140</t>
        </is>
      </c>
      <c r="C580" t="inlineStr">
        <is>
          <t>Yes</t>
        </is>
      </c>
      <c r="D580" t="inlineStr">
        <is>
          <t>5770667</t>
        </is>
      </c>
      <c r="E580" t="inlineStr">
        <is>
          <t>LWOP - HCES SU FACILITATION TRAINING</t>
        </is>
      </c>
      <c r="F580" s="111" t="n">
        <v>45562</v>
      </c>
      <c r="G580" s="111" t="n">
        <v>45562</v>
      </c>
      <c r="H580" s="111" t="n">
        <v>45562</v>
      </c>
      <c r="I580" t="n">
        <v>2</v>
      </c>
      <c r="J580" t="n">
        <v>0</v>
      </c>
      <c r="K580" t="inlineStr">
        <is>
          <t>TR 10</t>
        </is>
      </c>
      <c r="L580" t="inlineStr">
        <is>
          <t>TR 9</t>
        </is>
      </c>
      <c r="M580" t="inlineStr">
        <is>
          <t>--</t>
        </is>
      </c>
      <c r="N580" t="inlineStr">
        <is>
          <t>--</t>
        </is>
      </c>
      <c r="O580" t="inlineStr">
        <is>
          <t>JJH</t>
        </is>
      </c>
      <c r="Q580" s="62">
        <f>IF(C580="Yes", 1, IF(C580="no", 0, IF(C580= "tardy", SUM(J580/I580),"")))</f>
        <v/>
      </c>
      <c r="R580">
        <f>LEFT(Train_Log[[#This Row],[COURSE NAME:]],FIND(" - ", Train_Log[[#This Row],[COURSE NAME:]]) -1)</f>
        <v/>
      </c>
      <c r="S580">
        <f>MID(Train_Log[[#This Row],[COURSE NAME:]],FIND(" - ", Train_Log[[#This Row],[COURSE NAME:]]), 13)</f>
        <v/>
      </c>
      <c r="T580">
        <f>MID(E580, FIND(" - ", E580) + 3, LEN(E580)) &amp; "_" &amp; TEXT(F580, "yyyymmdd") &amp; "_" &amp; TEXT(H580, "yyyymmdd")</f>
        <v/>
      </c>
    </row>
    <row r="581">
      <c r="B581" t="inlineStr">
        <is>
          <t>EE31</t>
        </is>
      </c>
      <c r="C581" t="inlineStr">
        <is>
          <t>No</t>
        </is>
      </c>
      <c r="D581" t="inlineStr">
        <is>
          <t>5166816</t>
        </is>
      </c>
      <c r="E581" t="inlineStr">
        <is>
          <t>PHONES - BENEFITS</t>
        </is>
      </c>
      <c r="F581" s="111" t="n">
        <v>45683</v>
      </c>
      <c r="G581" s="111" t="n">
        <v>45687</v>
      </c>
      <c r="H581" s="111" t="n">
        <v>45687</v>
      </c>
      <c r="I581" t="n">
        <v>3</v>
      </c>
      <c r="J581" t="n">
        <v>3</v>
      </c>
      <c r="K581" t="inlineStr">
        <is>
          <t>TR 7</t>
        </is>
      </c>
      <c r="L581" t="inlineStr">
        <is>
          <t>TR 6</t>
        </is>
      </c>
      <c r="M581" t="inlineStr">
        <is>
          <t>--</t>
        </is>
      </c>
      <c r="N581" t="inlineStr">
        <is>
          <t>--</t>
        </is>
      </c>
      <c r="O581" t="inlineStr">
        <is>
          <t>JJH</t>
        </is>
      </c>
      <c r="Q581" s="62">
        <f>IF(C581="Yes", 1, IF(C581="no", 0, IF(C581= "tardy", SUM(J581/I581),"")))</f>
        <v/>
      </c>
      <c r="R581">
        <f>LEFT(Train_Log[[#This Row],[COURSE NAME:]],FIND(" - ", Train_Log[[#This Row],[COURSE NAME:]]) -1)</f>
        <v/>
      </c>
      <c r="S581">
        <f>MID(Train_Log[[#This Row],[COURSE NAME:]],FIND(" - ", Train_Log[[#This Row],[COURSE NAME:]]), 13)</f>
        <v/>
      </c>
      <c r="T581">
        <f>MID(E581, FIND(" - ", E581) + 3, LEN(E581)) &amp; "_" &amp; TEXT(F581, "yyyymmdd") &amp; "_" &amp; TEXT(H581, "yyyymmdd")</f>
        <v/>
      </c>
    </row>
    <row r="582">
      <c r="B582" t="inlineStr">
        <is>
          <t>EE28</t>
        </is>
      </c>
      <c r="C582" t="inlineStr">
        <is>
          <t>No</t>
        </is>
      </c>
      <c r="D582" t="inlineStr">
        <is>
          <t>4924594</t>
        </is>
      </c>
      <c r="E582" t="inlineStr">
        <is>
          <t>PHONES - LWOP</t>
        </is>
      </c>
      <c r="F582" s="111" t="n">
        <v>45735</v>
      </c>
      <c r="G582" s="111" t="n">
        <v>45739</v>
      </c>
      <c r="H582" s="111" t="n">
        <v>45739</v>
      </c>
      <c r="I582" t="n">
        <v>3</v>
      </c>
      <c r="J582" t="n">
        <v>3</v>
      </c>
      <c r="K582" t="inlineStr">
        <is>
          <t>TR 9</t>
        </is>
      </c>
      <c r="L582" t="inlineStr">
        <is>
          <t>TR 7</t>
        </is>
      </c>
      <c r="M582" t="inlineStr">
        <is>
          <t>--</t>
        </is>
      </c>
      <c r="N582" t="inlineStr">
        <is>
          <t>--</t>
        </is>
      </c>
      <c r="O582" t="inlineStr">
        <is>
          <t>JJH</t>
        </is>
      </c>
      <c r="Q582" s="62">
        <f>IF(C582="Yes", 1, IF(C582="no", 0, IF(C582= "tardy", SUM(J582/I582),"")))</f>
        <v/>
      </c>
      <c r="R582">
        <f>LEFT(Train_Log[[#This Row],[COURSE NAME:]],FIND(" - ", Train_Log[[#This Row],[COURSE NAME:]]) -1)</f>
        <v/>
      </c>
      <c r="S582">
        <f>MID(Train_Log[[#This Row],[COURSE NAME:]],FIND(" - ", Train_Log[[#This Row],[COURSE NAME:]]), 13)</f>
        <v/>
      </c>
      <c r="T582">
        <f>MID(E582, FIND(" - ", E582) + 3, LEN(E582)) &amp; "_" &amp; TEXT(F582, "yyyymmdd") &amp; "_" &amp; TEXT(H582, "yyyymmdd")</f>
        <v/>
      </c>
    </row>
    <row r="583">
      <c r="B583" t="inlineStr">
        <is>
          <t>EE145</t>
        </is>
      </c>
      <c r="C583" t="inlineStr">
        <is>
          <t>No</t>
        </is>
      </c>
      <c r="D583" t="inlineStr">
        <is>
          <t>6499337</t>
        </is>
      </c>
      <c r="E583" t="inlineStr">
        <is>
          <t>LWOP - HCES SUPERUSER TRAINING</t>
        </is>
      </c>
      <c r="F583" s="111" t="n">
        <v>45581</v>
      </c>
      <c r="G583" s="111" t="n">
        <v>45585</v>
      </c>
      <c r="H583" s="111" t="n">
        <v>45585</v>
      </c>
      <c r="I583" t="n">
        <v>2</v>
      </c>
      <c r="J583" t="n">
        <v>2</v>
      </c>
      <c r="K583" t="inlineStr">
        <is>
          <t>TR 7</t>
        </is>
      </c>
      <c r="L583" t="inlineStr">
        <is>
          <t>TR 9</t>
        </is>
      </c>
      <c r="M583" t="inlineStr">
        <is>
          <t>--</t>
        </is>
      </c>
      <c r="N583" t="inlineStr">
        <is>
          <t>--</t>
        </is>
      </c>
      <c r="O583" t="inlineStr">
        <is>
          <t>JJH</t>
        </is>
      </c>
      <c r="Q583" s="62">
        <f>IF(C583="Yes", 1, IF(C583="no", 0, IF(C583= "tardy", SUM(J583/I583),"")))</f>
        <v/>
      </c>
      <c r="R583">
        <f>LEFT(Train_Log[[#This Row],[COURSE NAME:]],FIND(" - ", Train_Log[[#This Row],[COURSE NAME:]]) -1)</f>
        <v/>
      </c>
      <c r="S583">
        <f>MID(Train_Log[[#This Row],[COURSE NAME:]],FIND(" - ", Train_Log[[#This Row],[COURSE NAME:]]), 13)</f>
        <v/>
      </c>
      <c r="T583">
        <f>MID(E583, FIND(" - ", E583) + 3, LEN(E583)) &amp; "_" &amp; TEXT(F583, "yyyymmdd") &amp; "_" &amp; TEXT(H583, "yyyymmdd")</f>
        <v/>
      </c>
    </row>
    <row r="584">
      <c r="B584" t="inlineStr">
        <is>
          <t>EE143</t>
        </is>
      </c>
      <c r="C584" t="inlineStr">
        <is>
          <t>No</t>
        </is>
      </c>
      <c r="D584" t="inlineStr">
        <is>
          <t>5613831</t>
        </is>
      </c>
      <c r="E584" t="inlineStr">
        <is>
          <t>OPTIONAL RETIREMENTS - MAILBUILD</t>
        </is>
      </c>
      <c r="F584" s="111" t="n">
        <v>45482</v>
      </c>
      <c r="G584" s="111" t="n">
        <v>45482</v>
      </c>
      <c r="H584" s="111" t="n">
        <v>45482</v>
      </c>
      <c r="I584" t="n">
        <v>4</v>
      </c>
      <c r="J584" t="n">
        <v>4</v>
      </c>
      <c r="K584" t="inlineStr">
        <is>
          <t>TR 5</t>
        </is>
      </c>
      <c r="L584" t="inlineStr">
        <is>
          <t>TR 5</t>
        </is>
      </c>
      <c r="M584" t="inlineStr">
        <is>
          <t>--</t>
        </is>
      </c>
      <c r="N584" t="inlineStr">
        <is>
          <t>--</t>
        </is>
      </c>
      <c r="O584" t="inlineStr">
        <is>
          <t>JJH</t>
        </is>
      </c>
      <c r="Q584" s="62">
        <f>IF(C584="Yes", 1, IF(C584="no", 0, IF(C584= "tardy", SUM(J584/I584),"")))</f>
        <v/>
      </c>
      <c r="R584">
        <f>LEFT(Train_Log[[#This Row],[COURSE NAME:]],FIND(" - ", Train_Log[[#This Row],[COURSE NAME:]]) -1)</f>
        <v/>
      </c>
      <c r="S584">
        <f>MID(Train_Log[[#This Row],[COURSE NAME:]],FIND(" - ", Train_Log[[#This Row],[COURSE NAME:]]), 13)</f>
        <v/>
      </c>
      <c r="T584">
        <f>MID(E584, FIND(" - ", E584) + 3, LEN(E584)) &amp; "_" &amp; TEXT(F584, "yyyymmdd") &amp; "_" &amp; TEXT(H584, "yyyymmdd")</f>
        <v/>
      </c>
    </row>
    <row r="585">
      <c r="B585" t="inlineStr">
        <is>
          <t>EE148</t>
        </is>
      </c>
      <c r="C585" t="inlineStr">
        <is>
          <t>No</t>
        </is>
      </c>
      <c r="D585" t="inlineStr">
        <is>
          <t>5054507</t>
        </is>
      </c>
      <c r="E585" t="inlineStr">
        <is>
          <t>LWOP - HCES SUPERUSER TRAINING</t>
        </is>
      </c>
      <c r="F585" s="111" t="n">
        <v>45706</v>
      </c>
      <c r="G585" s="111" t="n">
        <v>45710</v>
      </c>
      <c r="H585" s="111" t="n">
        <v>45710</v>
      </c>
      <c r="I585" t="n">
        <v>2</v>
      </c>
      <c r="J585" t="n">
        <v>2</v>
      </c>
      <c r="K585" t="inlineStr">
        <is>
          <t>TR 4</t>
        </is>
      </c>
      <c r="L585" t="inlineStr">
        <is>
          <t>TR 8</t>
        </is>
      </c>
      <c r="M585" t="inlineStr">
        <is>
          <t>--</t>
        </is>
      </c>
      <c r="N585" t="inlineStr">
        <is>
          <t>--</t>
        </is>
      </c>
      <c r="O585" t="inlineStr">
        <is>
          <t>JJH</t>
        </is>
      </c>
      <c r="Q585" s="62">
        <f>IF(C585="Yes", 1, IF(C585="no", 0, IF(C585= "tardy", SUM(J585/I585),"")))</f>
        <v/>
      </c>
      <c r="R585">
        <f>LEFT(Train_Log[[#This Row],[COURSE NAME:]],FIND(" - ", Train_Log[[#This Row],[COURSE NAME:]]) -1)</f>
        <v/>
      </c>
      <c r="S585">
        <f>MID(Train_Log[[#This Row],[COURSE NAME:]],FIND(" - ", Train_Log[[#This Row],[COURSE NAME:]]), 13)</f>
        <v/>
      </c>
      <c r="T585">
        <f>MID(E585, FIND(" - ", E585) + 3, LEN(E585)) &amp; "_" &amp; TEXT(F585, "yyyymmdd") &amp; "_" &amp; TEXT(H585, "yyyymmdd")</f>
        <v/>
      </c>
    </row>
    <row r="586">
      <c r="B586" t="inlineStr">
        <is>
          <t>EE180</t>
        </is>
      </c>
      <c r="C586" t="inlineStr">
        <is>
          <t>No</t>
        </is>
      </c>
      <c r="D586" t="inlineStr">
        <is>
          <t>4002398</t>
        </is>
      </c>
      <c r="E586" t="inlineStr">
        <is>
          <t>PHONES - LWOP</t>
        </is>
      </c>
      <c r="F586" s="111" t="n">
        <v>45401</v>
      </c>
      <c r="G586" s="111" t="n">
        <v>45401</v>
      </c>
      <c r="H586" s="111" t="n">
        <v>45401</v>
      </c>
      <c r="I586" t="n">
        <v>3</v>
      </c>
      <c r="J586" t="n">
        <v>3</v>
      </c>
      <c r="K586" t="inlineStr">
        <is>
          <t>TR 9</t>
        </is>
      </c>
      <c r="L586" t="inlineStr">
        <is>
          <t>TR 10</t>
        </is>
      </c>
      <c r="M586" t="inlineStr">
        <is>
          <t>--</t>
        </is>
      </c>
      <c r="N586" t="inlineStr">
        <is>
          <t>--</t>
        </is>
      </c>
      <c r="O586" t="inlineStr">
        <is>
          <t>JJH</t>
        </is>
      </c>
      <c r="Q586" s="62">
        <f>IF(C586="Yes", 1, IF(C586="no", 0, IF(C586= "tardy", SUM(J586/I586),"")))</f>
        <v/>
      </c>
      <c r="R586">
        <f>LEFT(Train_Log[[#This Row],[COURSE NAME:]],FIND(" - ", Train_Log[[#This Row],[COURSE NAME:]]) -1)</f>
        <v/>
      </c>
      <c r="S586">
        <f>MID(Train_Log[[#This Row],[COURSE NAME:]],FIND(" - ", Train_Log[[#This Row],[COURSE NAME:]]), 13)</f>
        <v/>
      </c>
      <c r="T586">
        <f>MID(E586, FIND(" - ", E586) + 3, LEN(E586)) &amp; "_" &amp; TEXT(F586, "yyyymmdd") &amp; "_" &amp; TEXT(H586, "yyyymmdd")</f>
        <v/>
      </c>
    </row>
    <row r="587">
      <c r="B587" t="inlineStr">
        <is>
          <t>EE179</t>
        </is>
      </c>
      <c r="C587" t="inlineStr">
        <is>
          <t>No</t>
        </is>
      </c>
      <c r="D587" t="inlineStr">
        <is>
          <t>6224464</t>
        </is>
      </c>
      <c r="E587" t="inlineStr">
        <is>
          <t>PHONES - BENEFITS</t>
        </is>
      </c>
      <c r="F587" s="111" t="n">
        <v>45463</v>
      </c>
      <c r="G587" s="111" t="n">
        <v>45464</v>
      </c>
      <c r="H587" s="111" t="n">
        <v>45464</v>
      </c>
      <c r="I587" t="n">
        <v>2</v>
      </c>
      <c r="J587" t="n">
        <v>2</v>
      </c>
      <c r="K587" t="inlineStr">
        <is>
          <t>TR 2</t>
        </is>
      </c>
      <c r="L587" t="inlineStr">
        <is>
          <t>TR 3</t>
        </is>
      </c>
      <c r="M587" t="inlineStr">
        <is>
          <t>--</t>
        </is>
      </c>
      <c r="N587" t="inlineStr">
        <is>
          <t>--</t>
        </is>
      </c>
      <c r="O587" t="inlineStr">
        <is>
          <t>JJH</t>
        </is>
      </c>
      <c r="Q587" s="62">
        <f>IF(C587="Yes", 1, IF(C587="no", 0, IF(C587= "tardy", SUM(J587/I587),"")))</f>
        <v/>
      </c>
      <c r="R587">
        <f>LEFT(Train_Log[[#This Row],[COURSE NAME:]],FIND(" - ", Train_Log[[#This Row],[COURSE NAME:]]) -1)</f>
        <v/>
      </c>
      <c r="S587">
        <f>MID(Train_Log[[#This Row],[COURSE NAME:]],FIND(" - ", Train_Log[[#This Row],[COURSE NAME:]]), 13)</f>
        <v/>
      </c>
      <c r="T587">
        <f>MID(E587, FIND(" - ", E587) + 3, LEN(E587)) &amp; "_" &amp; TEXT(F587, "yyyymmdd") &amp; "_" &amp; TEXT(H587, "yyyymmdd")</f>
        <v/>
      </c>
    </row>
    <row r="588">
      <c r="B588" t="inlineStr">
        <is>
          <t>EE121</t>
        </is>
      </c>
      <c r="C588" t="inlineStr">
        <is>
          <t>No</t>
        </is>
      </c>
      <c r="D588" t="inlineStr">
        <is>
          <t>6354548</t>
        </is>
      </c>
      <c r="E588" t="inlineStr">
        <is>
          <t>LWOP - HCES SU FACILITATION TRAINING</t>
        </is>
      </c>
      <c r="F588" s="111" t="n">
        <v>45389</v>
      </c>
      <c r="G588" s="111" t="n">
        <v>45389</v>
      </c>
      <c r="H588" s="111" t="n">
        <v>45389</v>
      </c>
      <c r="I588" t="n">
        <v>3</v>
      </c>
      <c r="J588" t="n">
        <v>3</v>
      </c>
      <c r="K588" t="inlineStr">
        <is>
          <t>TR 2</t>
        </is>
      </c>
      <c r="L588" t="inlineStr">
        <is>
          <t>TR 10</t>
        </is>
      </c>
      <c r="M588" t="inlineStr">
        <is>
          <t>--</t>
        </is>
      </c>
      <c r="N588" t="inlineStr">
        <is>
          <t>--</t>
        </is>
      </c>
      <c r="O588" t="inlineStr">
        <is>
          <t>JJH</t>
        </is>
      </c>
      <c r="Q588" s="62">
        <f>IF(C588="Yes", 1, IF(C588="no", 0, IF(C588= "tardy", SUM(J588/I588),"")))</f>
        <v/>
      </c>
      <c r="R588">
        <f>LEFT(Train_Log[[#This Row],[COURSE NAME:]],FIND(" - ", Train_Log[[#This Row],[COURSE NAME:]]) -1)</f>
        <v/>
      </c>
      <c r="S588">
        <f>MID(Train_Log[[#This Row],[COURSE NAME:]],FIND(" - ", Train_Log[[#This Row],[COURSE NAME:]]), 13)</f>
        <v/>
      </c>
      <c r="T588">
        <f>MID(E588, FIND(" - ", E588) + 3, LEN(E588)) &amp; "_" &amp; TEXT(F588, "yyyymmdd") &amp; "_" &amp; TEXT(H588, "yyyymmdd")</f>
        <v/>
      </c>
    </row>
    <row r="589">
      <c r="B589" t="inlineStr">
        <is>
          <t>EE10</t>
        </is>
      </c>
      <c r="C589" t="inlineStr">
        <is>
          <t>No</t>
        </is>
      </c>
      <c r="D589" t="inlineStr">
        <is>
          <t>6287433</t>
        </is>
      </c>
      <c r="E589" t="inlineStr">
        <is>
          <t>LWOP - HCES SU FACILITATION TRAINING</t>
        </is>
      </c>
      <c r="F589" s="111" t="n">
        <v>45709</v>
      </c>
      <c r="G589" s="111" t="n">
        <v>45711</v>
      </c>
      <c r="H589" s="111" t="n">
        <v>45711</v>
      </c>
      <c r="I589" t="n">
        <v>3</v>
      </c>
      <c r="J589" t="n">
        <v>3</v>
      </c>
      <c r="K589" t="inlineStr">
        <is>
          <t>TR 10</t>
        </is>
      </c>
      <c r="L589" t="inlineStr">
        <is>
          <t>TR 1</t>
        </is>
      </c>
      <c r="M589" t="inlineStr">
        <is>
          <t>--</t>
        </is>
      </c>
      <c r="N589" t="inlineStr">
        <is>
          <t>--</t>
        </is>
      </c>
      <c r="O589" t="inlineStr">
        <is>
          <t>JJH</t>
        </is>
      </c>
      <c r="Q589" s="62">
        <f>IF(C589="Yes", 1, IF(C589="no", 0, IF(C589= "tardy", SUM(J589/I589),"")))</f>
        <v/>
      </c>
      <c r="R589">
        <f>LEFT(Train_Log[[#This Row],[COURSE NAME:]],FIND(" - ", Train_Log[[#This Row],[COURSE NAME:]]) -1)</f>
        <v/>
      </c>
      <c r="S589">
        <f>MID(Train_Log[[#This Row],[COURSE NAME:]],FIND(" - ", Train_Log[[#This Row],[COURSE NAME:]]), 13)</f>
        <v/>
      </c>
      <c r="T589">
        <f>MID(E589, FIND(" - ", E589) + 3, LEN(E589)) &amp; "_" &amp; TEXT(F589, "yyyymmdd") &amp; "_" &amp; TEXT(H589, "yyyymmdd")</f>
        <v/>
      </c>
    </row>
    <row r="590">
      <c r="B590" t="inlineStr">
        <is>
          <t>EE45</t>
        </is>
      </c>
      <c r="C590" t="inlineStr">
        <is>
          <t>No</t>
        </is>
      </c>
      <c r="D590" t="inlineStr">
        <is>
          <t>5505668</t>
        </is>
      </c>
      <c r="E590" t="inlineStr">
        <is>
          <t>OPTIONAL RETIREMENTS - MAILBUILD</t>
        </is>
      </c>
      <c r="F590" s="111" t="n">
        <v>45748</v>
      </c>
      <c r="G590" s="111" t="n">
        <v>45748</v>
      </c>
      <c r="H590" s="111" t="n">
        <v>45748</v>
      </c>
      <c r="I590" t="n">
        <v>8</v>
      </c>
      <c r="J590" t="n">
        <v>8</v>
      </c>
      <c r="K590" t="inlineStr">
        <is>
          <t>TR 5</t>
        </is>
      </c>
      <c r="L590" t="inlineStr">
        <is>
          <t>TR 4</t>
        </is>
      </c>
      <c r="M590" t="inlineStr">
        <is>
          <t>--</t>
        </is>
      </c>
      <c r="N590" t="inlineStr">
        <is>
          <t>--</t>
        </is>
      </c>
      <c r="O590" t="inlineStr">
        <is>
          <t>JJH</t>
        </is>
      </c>
      <c r="Q590" s="62">
        <f>IF(C590="Yes", 1, IF(C590="no", 0, IF(C590= "tardy", SUM(J590/I590),"")))</f>
        <v/>
      </c>
      <c r="R590">
        <f>LEFT(Train_Log[[#This Row],[COURSE NAME:]],FIND(" - ", Train_Log[[#This Row],[COURSE NAME:]]) -1)</f>
        <v/>
      </c>
      <c r="S590">
        <f>MID(Train_Log[[#This Row],[COURSE NAME:]],FIND(" - ", Train_Log[[#This Row],[COURSE NAME:]]), 13)</f>
        <v/>
      </c>
      <c r="T590">
        <f>MID(E590, FIND(" - ", E590) + 3, LEN(E590)) &amp; "_" &amp; TEXT(F590, "yyyymmdd") &amp; "_" &amp; TEXT(H590, "yyyymmdd")</f>
        <v/>
      </c>
    </row>
    <row r="591">
      <c r="B591" t="inlineStr">
        <is>
          <t>EE9</t>
        </is>
      </c>
      <c r="C591" t="inlineStr">
        <is>
          <t>tardy</t>
        </is>
      </c>
      <c r="D591" t="inlineStr">
        <is>
          <t>6838283</t>
        </is>
      </c>
      <c r="E591" t="inlineStr">
        <is>
          <t>SUPPORT - TRAINING - PTSP TRAINING</t>
        </is>
      </c>
      <c r="F591" s="111" t="n">
        <v>45472</v>
      </c>
      <c r="G591" s="111" t="n">
        <v>45476</v>
      </c>
      <c r="H591" s="111" t="n">
        <v>45476</v>
      </c>
      <c r="I591" t="n">
        <v>2</v>
      </c>
      <c r="J591" t="n">
        <v>1.52</v>
      </c>
      <c r="K591" t="inlineStr">
        <is>
          <t>TR 3</t>
        </is>
      </c>
      <c r="L591" t="inlineStr">
        <is>
          <t>TR 2</t>
        </is>
      </c>
      <c r="M591" t="inlineStr">
        <is>
          <t>--</t>
        </is>
      </c>
      <c r="N591" t="inlineStr">
        <is>
          <t>--</t>
        </is>
      </c>
      <c r="O591" t="inlineStr">
        <is>
          <t>JJH</t>
        </is>
      </c>
      <c r="Q591" s="62">
        <f>IF(C591="Yes", 1, IF(C591="no", 0, IF(C591= "tardy", SUM(J591/I591),"")))</f>
        <v/>
      </c>
      <c r="R591">
        <f>LEFT(Train_Log[[#This Row],[COURSE NAME:]],FIND(" - ", Train_Log[[#This Row],[COURSE NAME:]]) -1)</f>
        <v/>
      </c>
      <c r="S591">
        <f>MID(Train_Log[[#This Row],[COURSE NAME:]],FIND(" - ", Train_Log[[#This Row],[COURSE NAME:]]), 13)</f>
        <v/>
      </c>
      <c r="T591">
        <f>MID(E591, FIND(" - ", E591) + 3, LEN(E591)) &amp; "_" &amp; TEXT(F591, "yyyymmdd") &amp; "_" &amp; TEXT(H591, "yyyymmdd")</f>
        <v/>
      </c>
    </row>
    <row r="592">
      <c r="B592" t="inlineStr">
        <is>
          <t>EE71</t>
        </is>
      </c>
      <c r="C592" t="inlineStr">
        <is>
          <t>No</t>
        </is>
      </c>
      <c r="D592" t="inlineStr">
        <is>
          <t>5594364</t>
        </is>
      </c>
      <c r="E592" t="inlineStr">
        <is>
          <t>LWOP - HCES SU FACILITATION TRAINING</t>
        </is>
      </c>
      <c r="F592" s="111" t="n">
        <v>45660</v>
      </c>
      <c r="G592" s="111" t="n">
        <v>45664</v>
      </c>
      <c r="H592" s="111" t="n">
        <v>45664</v>
      </c>
      <c r="I592" t="n">
        <v>8</v>
      </c>
      <c r="J592" t="n">
        <v>8</v>
      </c>
      <c r="K592" t="inlineStr">
        <is>
          <t>TR 4</t>
        </is>
      </c>
      <c r="L592" t="inlineStr">
        <is>
          <t>TR 9</t>
        </is>
      </c>
      <c r="M592" t="inlineStr">
        <is>
          <t>--</t>
        </is>
      </c>
      <c r="N592" t="inlineStr">
        <is>
          <t>--</t>
        </is>
      </c>
      <c r="O592" t="inlineStr">
        <is>
          <t>JJH</t>
        </is>
      </c>
      <c r="Q592" s="62">
        <f>IF(C592="Yes", 1, IF(C592="no", 0, IF(C592= "tardy", SUM(J592/I592),"")))</f>
        <v/>
      </c>
      <c r="R592">
        <f>LEFT(Train_Log[[#This Row],[COURSE NAME:]],FIND(" - ", Train_Log[[#This Row],[COURSE NAME:]]) -1)</f>
        <v/>
      </c>
      <c r="S592">
        <f>MID(Train_Log[[#This Row],[COURSE NAME:]],FIND(" - ", Train_Log[[#This Row],[COURSE NAME:]]), 13)</f>
        <v/>
      </c>
      <c r="T592">
        <f>MID(E592, FIND(" - ", E592) + 3, LEN(E592)) &amp; "_" &amp; TEXT(F592, "yyyymmdd") &amp; "_" &amp; TEXT(H592, "yyyymmdd")</f>
        <v/>
      </c>
    </row>
    <row r="593">
      <c r="B593" t="inlineStr">
        <is>
          <t>EE4</t>
        </is>
      </c>
      <c r="C593" t="inlineStr">
        <is>
          <t>No</t>
        </is>
      </c>
      <c r="D593" t="inlineStr">
        <is>
          <t>5153556</t>
        </is>
      </c>
      <c r="E593" t="inlineStr">
        <is>
          <t>PHONES - EMPLOYMENT VERIFICATION</t>
        </is>
      </c>
      <c r="F593" s="111" t="n">
        <v>45391</v>
      </c>
      <c r="G593" s="111" t="n">
        <v>45393</v>
      </c>
      <c r="H593" s="111" t="n">
        <v>45393</v>
      </c>
      <c r="I593" t="n">
        <v>8</v>
      </c>
      <c r="J593" t="n">
        <v>8</v>
      </c>
      <c r="K593" t="inlineStr">
        <is>
          <t>TR 10</t>
        </is>
      </c>
      <c r="L593" t="inlineStr">
        <is>
          <t>TR 6</t>
        </is>
      </c>
      <c r="M593" t="inlineStr">
        <is>
          <t>--</t>
        </is>
      </c>
      <c r="N593" t="inlineStr">
        <is>
          <t>--</t>
        </is>
      </c>
      <c r="O593" t="inlineStr">
        <is>
          <t>JJH</t>
        </is>
      </c>
      <c r="Q593" s="62">
        <f>IF(C593="Yes", 1, IF(C593="no", 0, IF(C593= "tardy", SUM(J593/I593),"")))</f>
        <v/>
      </c>
      <c r="R593">
        <f>LEFT(Train_Log[[#This Row],[COURSE NAME:]],FIND(" - ", Train_Log[[#This Row],[COURSE NAME:]]) -1)</f>
        <v/>
      </c>
      <c r="S593">
        <f>MID(Train_Log[[#This Row],[COURSE NAME:]],FIND(" - ", Train_Log[[#This Row],[COURSE NAME:]]), 13)</f>
        <v/>
      </c>
      <c r="T593">
        <f>MID(E593, FIND(" - ", E593) + 3, LEN(E593)) &amp; "_" &amp; TEXT(F593, "yyyymmdd") &amp; "_" &amp; TEXT(H593, "yyyymmdd")</f>
        <v/>
      </c>
    </row>
    <row r="594">
      <c r="B594" t="inlineStr">
        <is>
          <t>EE89</t>
        </is>
      </c>
      <c r="C594" t="inlineStr">
        <is>
          <t>No</t>
        </is>
      </c>
      <c r="D594" t="inlineStr">
        <is>
          <t>6240345</t>
        </is>
      </c>
      <c r="E594" t="inlineStr">
        <is>
          <t>RTR - EFORM SEPARATIONS TRAINING</t>
        </is>
      </c>
      <c r="F594" s="111" t="n">
        <v>45530</v>
      </c>
      <c r="G594" s="111" t="n">
        <v>45532</v>
      </c>
      <c r="H594" s="111" t="n">
        <v>45532</v>
      </c>
      <c r="I594" t="n">
        <v>4</v>
      </c>
      <c r="J594" t="n">
        <v>4</v>
      </c>
      <c r="K594" t="inlineStr">
        <is>
          <t>TR 7</t>
        </is>
      </c>
      <c r="L594" t="inlineStr">
        <is>
          <t>TR 10</t>
        </is>
      </c>
      <c r="M594" t="inlineStr">
        <is>
          <t>--</t>
        </is>
      </c>
      <c r="N594" t="inlineStr">
        <is>
          <t>--</t>
        </is>
      </c>
      <c r="O594" t="inlineStr">
        <is>
          <t>JJH</t>
        </is>
      </c>
      <c r="Q594" s="62">
        <f>IF(C594="Yes", 1, IF(C594="no", 0, IF(C594= "tardy", SUM(J594/I594),"")))</f>
        <v/>
      </c>
      <c r="R594">
        <f>LEFT(Train_Log[[#This Row],[COURSE NAME:]],FIND(" - ", Train_Log[[#This Row],[COURSE NAME:]]) -1)</f>
        <v/>
      </c>
      <c r="S594">
        <f>MID(Train_Log[[#This Row],[COURSE NAME:]],FIND(" - ", Train_Log[[#This Row],[COURSE NAME:]]), 13)</f>
        <v/>
      </c>
      <c r="T594">
        <f>MID(E594, FIND(" - ", E594) + 3, LEN(E594)) &amp; "_" &amp; TEXT(F594, "yyyymmdd") &amp; "_" &amp; TEXT(H594, "yyyymmdd")</f>
        <v/>
      </c>
    </row>
    <row r="595">
      <c r="B595" t="inlineStr">
        <is>
          <t>EE2</t>
        </is>
      </c>
      <c r="C595" t="inlineStr">
        <is>
          <t>No</t>
        </is>
      </c>
      <c r="D595" t="inlineStr">
        <is>
          <t>4466956</t>
        </is>
      </c>
      <c r="E595" t="inlineStr">
        <is>
          <t>RTR - EFORM SEPARATIONS TRAINING</t>
        </is>
      </c>
      <c r="F595" s="111" t="n">
        <v>45478</v>
      </c>
      <c r="G595" s="111" t="n">
        <v>45479</v>
      </c>
      <c r="H595" s="111" t="n">
        <v>45479</v>
      </c>
      <c r="I595" t="n">
        <v>8</v>
      </c>
      <c r="J595" t="n">
        <v>8</v>
      </c>
      <c r="K595" t="inlineStr">
        <is>
          <t>TR 2</t>
        </is>
      </c>
      <c r="L595" t="inlineStr">
        <is>
          <t>TR 9</t>
        </is>
      </c>
      <c r="M595" t="inlineStr">
        <is>
          <t>--</t>
        </is>
      </c>
      <c r="N595" t="inlineStr">
        <is>
          <t>--</t>
        </is>
      </c>
      <c r="O595" t="inlineStr">
        <is>
          <t>JJH</t>
        </is>
      </c>
      <c r="Q595" s="62">
        <f>IF(C595="Yes", 1, IF(C595="no", 0, IF(C595= "tardy", SUM(J595/I595),"")))</f>
        <v/>
      </c>
      <c r="R595">
        <f>LEFT(Train_Log[[#This Row],[COURSE NAME:]],FIND(" - ", Train_Log[[#This Row],[COURSE NAME:]]) -1)</f>
        <v/>
      </c>
      <c r="S595">
        <f>MID(Train_Log[[#This Row],[COURSE NAME:]],FIND(" - ", Train_Log[[#This Row],[COURSE NAME:]]), 13)</f>
        <v/>
      </c>
      <c r="T595">
        <f>MID(E595, FIND(" - ", E595) + 3, LEN(E595)) &amp; "_" &amp; TEXT(F595, "yyyymmdd") &amp; "_" &amp; TEXT(H595, "yyyymmdd")</f>
        <v/>
      </c>
    </row>
    <row r="596">
      <c r="B596" t="inlineStr">
        <is>
          <t>EE76</t>
        </is>
      </c>
      <c r="C596" t="inlineStr">
        <is>
          <t>No</t>
        </is>
      </c>
      <c r="D596" t="inlineStr">
        <is>
          <t>4682220</t>
        </is>
      </c>
      <c r="E596" t="inlineStr">
        <is>
          <t>LWOP - HCES SUPERUSER TRAINING</t>
        </is>
      </c>
      <c r="F596" s="111" t="n">
        <v>45418</v>
      </c>
      <c r="G596" s="111" t="n">
        <v>45420</v>
      </c>
      <c r="H596" s="111" t="n">
        <v>45420</v>
      </c>
      <c r="I596" t="n">
        <v>8</v>
      </c>
      <c r="J596" t="n">
        <v>8</v>
      </c>
      <c r="K596" t="inlineStr">
        <is>
          <t>TR 10</t>
        </is>
      </c>
      <c r="L596" t="inlineStr">
        <is>
          <t>TR 5</t>
        </is>
      </c>
      <c r="M596" t="inlineStr">
        <is>
          <t>--</t>
        </is>
      </c>
      <c r="N596" t="inlineStr">
        <is>
          <t>--</t>
        </is>
      </c>
      <c r="O596" t="inlineStr">
        <is>
          <t>JJH</t>
        </is>
      </c>
      <c r="Q596" s="62">
        <f>IF(C596="Yes", 1, IF(C596="no", 0, IF(C596= "tardy", SUM(J596/I596),"")))</f>
        <v/>
      </c>
      <c r="R596">
        <f>LEFT(Train_Log[[#This Row],[COURSE NAME:]],FIND(" - ", Train_Log[[#This Row],[COURSE NAME:]]) -1)</f>
        <v/>
      </c>
      <c r="S596">
        <f>MID(Train_Log[[#This Row],[COURSE NAME:]],FIND(" - ", Train_Log[[#This Row],[COURSE NAME:]]), 13)</f>
        <v/>
      </c>
      <c r="T596">
        <f>MID(E596, FIND(" - ", E596) + 3, LEN(E596)) &amp; "_" &amp; TEXT(F596, "yyyymmdd") &amp; "_" &amp; TEXT(H596, "yyyymmdd")</f>
        <v/>
      </c>
    </row>
    <row r="597">
      <c r="B597" t="inlineStr">
        <is>
          <t>EE178</t>
        </is>
      </c>
      <c r="C597" t="inlineStr">
        <is>
          <t>No</t>
        </is>
      </c>
      <c r="D597" t="inlineStr">
        <is>
          <t>6262319</t>
        </is>
      </c>
      <c r="E597" t="inlineStr">
        <is>
          <t>OPTIONAL RETIREMENTS - MAILBUILD</t>
        </is>
      </c>
      <c r="F597" s="111" t="n">
        <v>45685</v>
      </c>
      <c r="G597" s="111" t="n">
        <v>45687</v>
      </c>
      <c r="H597" s="111" t="n">
        <v>45687</v>
      </c>
      <c r="I597" t="n">
        <v>2</v>
      </c>
      <c r="J597" t="n">
        <v>2</v>
      </c>
      <c r="K597" t="inlineStr">
        <is>
          <t>TR 6</t>
        </is>
      </c>
      <c r="L597" t="inlineStr">
        <is>
          <t>TR 8</t>
        </is>
      </c>
      <c r="M597" t="inlineStr">
        <is>
          <t>--</t>
        </is>
      </c>
      <c r="N597" t="inlineStr">
        <is>
          <t>--</t>
        </is>
      </c>
      <c r="O597" t="inlineStr">
        <is>
          <t>JJH</t>
        </is>
      </c>
      <c r="Q597" s="62">
        <f>IF(C597="Yes", 1, IF(C597="no", 0, IF(C597= "tardy", SUM(J597/I597),"")))</f>
        <v/>
      </c>
      <c r="R597">
        <f>LEFT(Train_Log[[#This Row],[COURSE NAME:]],FIND(" - ", Train_Log[[#This Row],[COURSE NAME:]]) -1)</f>
        <v/>
      </c>
      <c r="S597">
        <f>MID(Train_Log[[#This Row],[COURSE NAME:]],FIND(" - ", Train_Log[[#This Row],[COURSE NAME:]]), 13)</f>
        <v/>
      </c>
      <c r="T597">
        <f>MID(E597, FIND(" - ", E597) + 3, LEN(E597)) &amp; "_" &amp; TEXT(F597, "yyyymmdd") &amp; "_" &amp; TEXT(H597, "yyyymmdd")</f>
        <v/>
      </c>
    </row>
    <row r="598">
      <c r="B598" t="inlineStr">
        <is>
          <t>EE175</t>
        </is>
      </c>
      <c r="C598" t="inlineStr">
        <is>
          <t>No</t>
        </is>
      </c>
      <c r="D598" t="inlineStr">
        <is>
          <t>4641054</t>
        </is>
      </c>
      <c r="E598" t="inlineStr">
        <is>
          <t>OPTIONAL RETIREMENTS - MAILBUILD</t>
        </is>
      </c>
      <c r="F598" s="111" t="n">
        <v>45327</v>
      </c>
      <c r="G598" s="111" t="n">
        <v>45328</v>
      </c>
      <c r="H598" s="111" t="n">
        <v>45328</v>
      </c>
      <c r="I598" t="n">
        <v>2</v>
      </c>
      <c r="J598" t="n">
        <v>2</v>
      </c>
      <c r="K598" t="inlineStr">
        <is>
          <t>TR 7</t>
        </is>
      </c>
      <c r="L598" t="inlineStr">
        <is>
          <t>--</t>
        </is>
      </c>
      <c r="M598" t="inlineStr">
        <is>
          <t>--</t>
        </is>
      </c>
      <c r="N598" t="inlineStr">
        <is>
          <t>--</t>
        </is>
      </c>
      <c r="O598" t="inlineStr">
        <is>
          <t>JJH</t>
        </is>
      </c>
      <c r="Q598" s="62">
        <f>IF(C598="Yes", 1, IF(C598="no", 0, IF(C598= "tardy", SUM(J598/I598),"")))</f>
        <v/>
      </c>
      <c r="R598">
        <f>LEFT(Train_Log[[#This Row],[COURSE NAME:]],FIND(" - ", Train_Log[[#This Row],[COURSE NAME:]]) -1)</f>
        <v/>
      </c>
      <c r="S598">
        <f>MID(Train_Log[[#This Row],[COURSE NAME:]],FIND(" - ", Train_Log[[#This Row],[COURSE NAME:]]), 13)</f>
        <v/>
      </c>
      <c r="T598">
        <f>MID(E598, FIND(" - ", E598) + 3, LEN(E598)) &amp; "_" &amp; TEXT(F598, "yyyymmdd") &amp; "_" &amp; TEXT(H598, "yyyymmdd")</f>
        <v/>
      </c>
    </row>
    <row r="599">
      <c r="B599" t="inlineStr">
        <is>
          <t>EE57</t>
        </is>
      </c>
      <c r="C599" t="inlineStr">
        <is>
          <t>No</t>
        </is>
      </c>
      <c r="D599" t="inlineStr">
        <is>
          <t>6636706</t>
        </is>
      </c>
      <c r="E599" t="inlineStr">
        <is>
          <t>SUPPORT - TRAINING - PTSP TRAINING</t>
        </is>
      </c>
      <c r="F599" s="111" t="n">
        <v>45622</v>
      </c>
      <c r="G599" s="111" t="n">
        <v>45623</v>
      </c>
      <c r="H599" s="111" t="n">
        <v>45623</v>
      </c>
      <c r="I599" t="n">
        <v>8</v>
      </c>
      <c r="J599" t="n">
        <v>8</v>
      </c>
      <c r="K599" t="inlineStr">
        <is>
          <t>TR 9</t>
        </is>
      </c>
      <c r="L599" t="inlineStr">
        <is>
          <t>TR 1</t>
        </is>
      </c>
      <c r="M599" t="inlineStr">
        <is>
          <t>--</t>
        </is>
      </c>
      <c r="N599" t="inlineStr">
        <is>
          <t>--</t>
        </is>
      </c>
      <c r="O599" t="inlineStr">
        <is>
          <t>JJH</t>
        </is>
      </c>
      <c r="Q599" s="62">
        <f>IF(C599="Yes", 1, IF(C599="no", 0, IF(C599= "tardy", SUM(J599/I599),"")))</f>
        <v/>
      </c>
      <c r="R599">
        <f>LEFT(Train_Log[[#This Row],[COURSE NAME:]],FIND(" - ", Train_Log[[#This Row],[COURSE NAME:]]) -1)</f>
        <v/>
      </c>
      <c r="S599">
        <f>MID(Train_Log[[#This Row],[COURSE NAME:]],FIND(" - ", Train_Log[[#This Row],[COURSE NAME:]]), 13)</f>
        <v/>
      </c>
      <c r="T599">
        <f>MID(E599, FIND(" - ", E599) + 3, LEN(E599)) &amp; "_" &amp; TEXT(F599, "yyyymmdd") &amp; "_" &amp; TEXT(H599, "yyyymmdd")</f>
        <v/>
      </c>
    </row>
    <row r="600">
      <c r="B600" t="inlineStr">
        <is>
          <t>EE180</t>
        </is>
      </c>
      <c r="C600" t="inlineStr">
        <is>
          <t>No</t>
        </is>
      </c>
      <c r="D600" t="inlineStr">
        <is>
          <t>4002398</t>
        </is>
      </c>
      <c r="E600" t="inlineStr">
        <is>
          <t>RTR - EFORM SEPARATIONS TRAINING</t>
        </is>
      </c>
      <c r="F600" s="111" t="n">
        <v>45553</v>
      </c>
      <c r="G600" s="111" t="n">
        <v>45553</v>
      </c>
      <c r="H600" s="111" t="n">
        <v>45553</v>
      </c>
      <c r="I600" t="n">
        <v>3</v>
      </c>
      <c r="J600" t="n">
        <v>3</v>
      </c>
      <c r="K600" t="inlineStr">
        <is>
          <t>TR 2</t>
        </is>
      </c>
      <c r="L600" t="inlineStr">
        <is>
          <t>TR 9</t>
        </is>
      </c>
      <c r="M600" t="inlineStr">
        <is>
          <t>--</t>
        </is>
      </c>
      <c r="N600" t="inlineStr">
        <is>
          <t>--</t>
        </is>
      </c>
      <c r="O600" t="inlineStr">
        <is>
          <t>JJH</t>
        </is>
      </c>
      <c r="Q600" s="62">
        <f>IF(C600="Yes", 1, IF(C600="no", 0, IF(C600= "tardy", SUM(J600/I600),"")))</f>
        <v/>
      </c>
      <c r="R600">
        <f>LEFT(Train_Log[[#This Row],[COURSE NAME:]],FIND(" - ", Train_Log[[#This Row],[COURSE NAME:]]) -1)</f>
        <v/>
      </c>
      <c r="S600">
        <f>MID(Train_Log[[#This Row],[COURSE NAME:]],FIND(" - ", Train_Log[[#This Row],[COURSE NAME:]]), 13)</f>
        <v/>
      </c>
      <c r="T600">
        <f>MID(E600, FIND(" - ", E600) + 3, LEN(E600)) &amp; "_" &amp; TEXT(F600, "yyyymmdd") &amp; "_" &amp; TEXT(H600, "yyyymmdd")</f>
        <v/>
      </c>
    </row>
    <row r="601">
      <c r="B601" t="inlineStr">
        <is>
          <t>EE46</t>
        </is>
      </c>
      <c r="C601" t="inlineStr">
        <is>
          <t>No</t>
        </is>
      </c>
      <c r="D601" t="inlineStr">
        <is>
          <t>5442654</t>
        </is>
      </c>
      <c r="E601" t="inlineStr">
        <is>
          <t>OPTIONAL RETIREMENTS - MAILBUILD</t>
        </is>
      </c>
      <c r="F601" s="111" t="n">
        <v>45620</v>
      </c>
      <c r="G601" s="111" t="n">
        <v>45620</v>
      </c>
      <c r="H601" s="111" t="n">
        <v>45620</v>
      </c>
      <c r="I601" t="n">
        <v>8</v>
      </c>
      <c r="J601" t="n">
        <v>8</v>
      </c>
      <c r="K601" t="inlineStr">
        <is>
          <t>TR 5</t>
        </is>
      </c>
      <c r="L601" t="inlineStr">
        <is>
          <t>TR 3</t>
        </is>
      </c>
      <c r="M601" t="inlineStr">
        <is>
          <t>--</t>
        </is>
      </c>
      <c r="N601" t="inlineStr">
        <is>
          <t>--</t>
        </is>
      </c>
      <c r="O601" t="inlineStr">
        <is>
          <t>JJH</t>
        </is>
      </c>
      <c r="Q601" s="62">
        <f>IF(C601="Yes", 1, IF(C601="no", 0, IF(C601= "tardy", SUM(J601/I601),"")))</f>
        <v/>
      </c>
      <c r="R601">
        <f>LEFT(Train_Log[[#This Row],[COURSE NAME:]],FIND(" - ", Train_Log[[#This Row],[COURSE NAME:]]) -1)</f>
        <v/>
      </c>
      <c r="S601">
        <f>MID(Train_Log[[#This Row],[COURSE NAME:]],FIND(" - ", Train_Log[[#This Row],[COURSE NAME:]]), 13)</f>
        <v/>
      </c>
      <c r="T601">
        <f>MID(E601, FIND(" - ", E601) + 3, LEN(E601)) &amp; "_" &amp; TEXT(F601, "yyyymmdd") &amp; "_" &amp; TEXT(H601, "yyyymmdd")</f>
        <v/>
      </c>
    </row>
    <row r="602">
      <c r="Q602" s="62" t="n"/>
    </row>
    <row r="603">
      <c r="Q603" s="62" t="n"/>
    </row>
    <row r="604">
      <c r="Q604" s="62" t="n"/>
    </row>
    <row r="605">
      <c r="Q605" s="62" t="n"/>
    </row>
    <row r="606">
      <c r="Q606" s="62" t="n"/>
    </row>
    <row r="607">
      <c r="Q607" s="62" t="n"/>
    </row>
    <row r="608">
      <c r="Q608" s="62" t="n"/>
    </row>
    <row r="609">
      <c r="Q609" s="62" t="n"/>
    </row>
    <row r="610">
      <c r="Q610" s="62" t="n"/>
    </row>
    <row r="611">
      <c r="Q611" s="62" t="n"/>
    </row>
    <row r="612">
      <c r="Q612" s="62" t="n"/>
    </row>
    <row r="613">
      <c r="Q613" s="62" t="n"/>
    </row>
    <row r="614">
      <c r="Q614" s="62" t="n"/>
    </row>
    <row r="615">
      <c r="Q615" s="62" t="n"/>
    </row>
    <row r="616">
      <c r="Q616" s="62" t="n"/>
    </row>
    <row r="617">
      <c r="Q617" s="62" t="n"/>
    </row>
    <row r="618">
      <c r="Q618" s="62" t="n"/>
    </row>
    <row r="619">
      <c r="Q619" s="62" t="n"/>
    </row>
    <row r="620">
      <c r="Q620" s="62" t="n"/>
    </row>
    <row r="621">
      <c r="Q621" s="62" t="n"/>
    </row>
    <row r="622">
      <c r="Q622" s="62" t="n"/>
    </row>
    <row r="623">
      <c r="Q623" s="62" t="n"/>
    </row>
    <row r="624">
      <c r="Q624" s="62" t="n"/>
    </row>
    <row r="625">
      <c r="Q625" s="62" t="n"/>
    </row>
    <row r="626">
      <c r="Q626" s="62" t="n"/>
    </row>
    <row r="627">
      <c r="Q627" s="62" t="n"/>
    </row>
    <row r="628">
      <c r="Q628" s="62" t="n"/>
    </row>
    <row r="629">
      <c r="Q629" s="62" t="n"/>
    </row>
    <row r="630">
      <c r="Q630" s="62" t="n"/>
    </row>
    <row r="631">
      <c r="Q631" s="62" t="n"/>
    </row>
    <row r="632">
      <c r="Q632" s="62" t="n"/>
    </row>
    <row r="633">
      <c r="Q633" s="62" t="n"/>
    </row>
    <row r="634">
      <c r="Q634" s="62" t="n"/>
    </row>
    <row r="635">
      <c r="Q635" s="62" t="n"/>
    </row>
    <row r="636">
      <c r="Q636" s="62" t="n"/>
    </row>
    <row r="637">
      <c r="Q637" s="62" t="n"/>
    </row>
    <row r="638">
      <c r="Q638" s="62" t="n"/>
    </row>
    <row r="639">
      <c r="Q639" s="62" t="n"/>
    </row>
    <row r="640">
      <c r="Q640" s="62" t="n"/>
    </row>
    <row r="641">
      <c r="Q641" s="62" t="n"/>
    </row>
    <row r="642">
      <c r="Q642" s="62" t="n"/>
    </row>
    <row r="643">
      <c r="Q643" s="62" t="n"/>
    </row>
    <row r="644">
      <c r="Q644" s="62" t="n"/>
    </row>
    <row r="645">
      <c r="Q645" s="62" t="n"/>
    </row>
    <row r="646">
      <c r="Q646" s="62" t="n"/>
    </row>
    <row r="647">
      <c r="Q647" s="62" t="n"/>
    </row>
    <row r="648">
      <c r="Q648" s="62" t="n"/>
    </row>
    <row r="649">
      <c r="Q649" s="62" t="n"/>
    </row>
    <row r="650">
      <c r="Q650" s="62" t="n"/>
    </row>
    <row r="651">
      <c r="Q651" s="62" t="n"/>
    </row>
    <row r="652">
      <c r="Q652" s="62" t="n"/>
    </row>
    <row r="653">
      <c r="Q653" s="62" t="n"/>
    </row>
    <row r="654">
      <c r="Q654" s="62" t="n"/>
    </row>
    <row r="655">
      <c r="Q655" s="62" t="n"/>
    </row>
    <row r="656">
      <c r="Q656" s="62" t="n"/>
    </row>
    <row r="657">
      <c r="Q657" s="62" t="n"/>
    </row>
    <row r="658">
      <c r="Q658" s="62" t="n"/>
    </row>
    <row r="659">
      <c r="Q659" s="62" t="n"/>
    </row>
    <row r="660">
      <c r="Q660" s="62" t="n"/>
    </row>
    <row r="661">
      <c r="Q661" s="62" t="n"/>
    </row>
    <row r="662">
      <c r="Q662" s="62" t="n"/>
    </row>
    <row r="663">
      <c r="Q663" s="62" t="n"/>
    </row>
    <row r="664">
      <c r="Q664" s="62" t="n"/>
    </row>
    <row r="665">
      <c r="Q665" s="62" t="n"/>
    </row>
    <row r="666">
      <c r="Q666" s="62" t="n"/>
    </row>
    <row r="667">
      <c r="Q667" s="62" t="n"/>
    </row>
    <row r="668">
      <c r="Q668" s="62" t="n"/>
    </row>
    <row r="669">
      <c r="Q669" s="62" t="n"/>
    </row>
    <row r="670">
      <c r="Q670" s="62" t="n"/>
    </row>
    <row r="671">
      <c r="Q671" s="62" t="n"/>
    </row>
    <row r="672">
      <c r="Q672" s="62" t="n"/>
    </row>
    <row r="673">
      <c r="Q673" s="62" t="n"/>
    </row>
    <row r="674">
      <c r="Q674" s="62" t="n"/>
    </row>
    <row r="675">
      <c r="Q675" s="62" t="n"/>
    </row>
    <row r="676">
      <c r="Q676" s="62" t="n"/>
    </row>
    <row r="677">
      <c r="Q677" s="62" t="n"/>
    </row>
    <row r="678">
      <c r="Q678" s="62" t="n"/>
    </row>
    <row r="679">
      <c r="Q679" s="62" t="n"/>
    </row>
    <row r="680">
      <c r="Q680" s="62" t="n"/>
    </row>
    <row r="681">
      <c r="Q681" s="62" t="n"/>
    </row>
    <row r="682">
      <c r="Q682" s="62" t="n"/>
    </row>
    <row r="683">
      <c r="Q683" s="62" t="n"/>
    </row>
    <row r="684">
      <c r="Q684" s="62" t="n"/>
    </row>
    <row r="685">
      <c r="Q685" s="62" t="n"/>
    </row>
    <row r="686">
      <c r="Q686" s="62" t="n"/>
    </row>
    <row r="687">
      <c r="Q687" s="62" t="n"/>
    </row>
    <row r="688">
      <c r="Q688" s="62" t="n"/>
    </row>
    <row r="689">
      <c r="Q689" s="62" t="n"/>
    </row>
    <row r="690">
      <c r="Q690" s="62" t="n"/>
    </row>
    <row r="691">
      <c r="Q691" s="62" t="n"/>
    </row>
    <row r="692">
      <c r="Q692" s="62" t="n"/>
    </row>
    <row r="693">
      <c r="Q693" s="62" t="n"/>
    </row>
    <row r="694">
      <c r="Q694" s="62" t="n"/>
    </row>
    <row r="695">
      <c r="Q695" s="62" t="n"/>
    </row>
    <row r="696">
      <c r="Q696" s="62" t="n"/>
    </row>
    <row r="697">
      <c r="Q697" s="62" t="n"/>
    </row>
    <row r="698">
      <c r="Q698" s="62" t="n"/>
    </row>
    <row r="699">
      <c r="Q699" s="62" t="n"/>
    </row>
    <row r="700">
      <c r="Q700" s="62" t="n"/>
    </row>
    <row r="701">
      <c r="Q701" s="62" t="n"/>
    </row>
    <row r="702">
      <c r="Q702" s="62" t="n"/>
    </row>
    <row r="703">
      <c r="Q703" s="62" t="n"/>
    </row>
    <row r="704">
      <c r="Q704" s="62" t="n"/>
    </row>
    <row r="705">
      <c r="Q705" s="62" t="n"/>
    </row>
    <row r="706">
      <c r="Q706" s="62" t="n"/>
    </row>
    <row r="707">
      <c r="Q707" s="62" t="n"/>
    </row>
    <row r="708">
      <c r="Q708" s="62" t="n"/>
    </row>
    <row r="709">
      <c r="Q709" s="62" t="n"/>
    </row>
    <row r="710">
      <c r="Q710" s="62" t="n"/>
    </row>
    <row r="711">
      <c r="Q711" s="62" t="n"/>
    </row>
    <row r="712">
      <c r="Q712" s="62" t="n"/>
    </row>
    <row r="713">
      <c r="Q713" s="62" t="n"/>
    </row>
    <row r="714">
      <c r="Q714" s="62" t="n"/>
    </row>
    <row r="715">
      <c r="Q715" s="62" t="n"/>
    </row>
    <row r="716">
      <c r="Q716" s="62" t="n"/>
    </row>
    <row r="717">
      <c r="Q717" s="62" t="n"/>
    </row>
    <row r="718">
      <c r="Q718" s="62" t="n"/>
    </row>
    <row r="719">
      <c r="Q719" s="62" t="n"/>
    </row>
    <row r="720">
      <c r="Q720" s="62" t="n"/>
    </row>
    <row r="721">
      <c r="Q721" s="62" t="n"/>
    </row>
    <row r="722">
      <c r="Q722" s="62" t="n"/>
    </row>
    <row r="723">
      <c r="Q723" s="62" t="n"/>
    </row>
    <row r="724">
      <c r="Q724" s="62" t="n"/>
    </row>
    <row r="725">
      <c r="Q725" s="62" t="n"/>
    </row>
    <row r="726">
      <c r="Q726" s="62" t="n"/>
    </row>
    <row r="727">
      <c r="Q727" s="62" t="n"/>
    </row>
    <row r="728">
      <c r="Q728" s="62" t="n"/>
    </row>
    <row r="729">
      <c r="Q729" s="62" t="n"/>
    </row>
    <row r="730">
      <c r="Q730" s="62" t="n"/>
    </row>
    <row r="731">
      <c r="Q731" s="62" t="n"/>
    </row>
    <row r="732">
      <c r="Q732" s="62" t="n"/>
    </row>
    <row r="733">
      <c r="Q733" s="62" t="n"/>
    </row>
    <row r="734">
      <c r="Q734" s="62" t="n"/>
    </row>
    <row r="735">
      <c r="Q735" s="62" t="n"/>
    </row>
    <row r="736">
      <c r="Q736" s="62" t="n"/>
    </row>
    <row r="737">
      <c r="Q737" s="62" t="n"/>
    </row>
    <row r="738">
      <c r="Q738" s="62" t="n"/>
    </row>
    <row r="739">
      <c r="Q739" s="62" t="n"/>
    </row>
    <row r="740">
      <c r="Q740" s="62" t="n"/>
    </row>
    <row r="741">
      <c r="Q741" s="62" t="n"/>
    </row>
    <row r="742">
      <c r="Q742" s="62" t="n"/>
    </row>
    <row r="743">
      <c r="Q743" s="62" t="n"/>
    </row>
    <row r="744">
      <c r="Q744" s="62" t="n"/>
    </row>
    <row r="745">
      <c r="Q745" s="62" t="n"/>
    </row>
    <row r="746">
      <c r="Q746" s="62" t="n"/>
    </row>
    <row r="747">
      <c r="Q747" s="62" t="n"/>
    </row>
    <row r="748">
      <c r="Q748" s="62" t="n"/>
    </row>
    <row r="749">
      <c r="Q749" s="62" t="n"/>
    </row>
    <row r="750">
      <c r="Q750" s="62" t="n"/>
    </row>
    <row r="751">
      <c r="Q751" s="62" t="n"/>
    </row>
    <row r="752">
      <c r="Q752" s="62" t="n"/>
    </row>
    <row r="753">
      <c r="Q753" s="62" t="n"/>
    </row>
    <row r="754">
      <c r="Q754" s="62" t="n"/>
    </row>
    <row r="755">
      <c r="Q755" s="62" t="n"/>
    </row>
    <row r="756">
      <c r="Q756" s="62" t="n"/>
    </row>
    <row r="757">
      <c r="Q757" s="62" t="n"/>
    </row>
    <row r="758">
      <c r="Q758" s="62" t="n"/>
    </row>
    <row r="759">
      <c r="Q759" s="62" t="n"/>
    </row>
    <row r="760">
      <c r="Q760" s="62" t="n"/>
    </row>
    <row r="761">
      <c r="Q761" s="62" t="n"/>
    </row>
    <row r="762">
      <c r="Q762" s="62" t="n"/>
    </row>
    <row r="763">
      <c r="Q763" s="62" t="n"/>
    </row>
    <row r="764">
      <c r="Q764" s="62" t="n"/>
    </row>
    <row r="765">
      <c r="Q765" s="62" t="n"/>
    </row>
    <row r="766">
      <c r="Q766" s="62" t="n"/>
    </row>
    <row r="767">
      <c r="Q767" s="62" t="n"/>
    </row>
    <row r="768">
      <c r="Q768" s="62" t="n"/>
    </row>
    <row r="769">
      <c r="Q769" s="62" t="n"/>
    </row>
    <row r="770">
      <c r="Q770" s="62" t="n"/>
    </row>
    <row r="771">
      <c r="Q771" s="62" t="n"/>
    </row>
    <row r="772">
      <c r="Q772" s="62" t="n"/>
    </row>
    <row r="773">
      <c r="Q773" s="62" t="n"/>
    </row>
    <row r="774">
      <c r="Q774" s="62" t="n"/>
    </row>
    <row r="775">
      <c r="Q775" s="62" t="n"/>
    </row>
    <row r="776">
      <c r="Q776" s="62" t="n"/>
    </row>
    <row r="777">
      <c r="Q777" s="62" t="n"/>
    </row>
    <row r="778">
      <c r="Q778" s="62" t="n"/>
    </row>
    <row r="779">
      <c r="Q779" s="62" t="n"/>
    </row>
    <row r="780">
      <c r="Q780" s="62" t="n"/>
    </row>
    <row r="781">
      <c r="Q781" s="62" t="n"/>
    </row>
    <row r="782">
      <c r="Q782" s="62" t="n"/>
    </row>
    <row r="783">
      <c r="Q783" s="62" t="n"/>
    </row>
    <row r="784">
      <c r="Q784" s="62" t="n"/>
    </row>
    <row r="785">
      <c r="Q785" s="62" t="n"/>
    </row>
    <row r="786">
      <c r="Q786" s="62" t="n"/>
    </row>
    <row r="787">
      <c r="Q787" s="62" t="n"/>
    </row>
    <row r="788">
      <c r="Q788" s="62" t="n"/>
    </row>
    <row r="789">
      <c r="Q789" s="62" t="n"/>
    </row>
    <row r="790">
      <c r="Q790" s="62" t="n"/>
    </row>
    <row r="791">
      <c r="Q791" s="62" t="n"/>
    </row>
    <row r="792">
      <c r="Q792" s="62" t="n"/>
    </row>
    <row r="793">
      <c r="Q793" s="62" t="n"/>
    </row>
    <row r="794">
      <c r="Q794" s="62" t="n"/>
    </row>
    <row r="795">
      <c r="Q795" s="62" t="n"/>
    </row>
    <row r="796">
      <c r="Q796" s="62" t="n"/>
    </row>
    <row r="797">
      <c r="Q797" s="62" t="n"/>
    </row>
    <row r="798">
      <c r="Q798" s="62" t="n"/>
    </row>
    <row r="799">
      <c r="Q799" s="62" t="n"/>
    </row>
    <row r="800">
      <c r="Q800" s="62" t="n"/>
    </row>
    <row r="801">
      <c r="Q801" s="62" t="n"/>
    </row>
    <row r="802">
      <c r="Q802" s="62" t="n"/>
    </row>
    <row r="803">
      <c r="Q803" s="62" t="n"/>
    </row>
    <row r="804">
      <c r="Q804" s="62" t="n"/>
    </row>
    <row r="805">
      <c r="Q805" s="62" t="n"/>
    </row>
    <row r="806">
      <c r="Q806" s="62" t="n"/>
    </row>
    <row r="807">
      <c r="Q807" s="62" t="n"/>
    </row>
    <row r="808">
      <c r="Q808" s="62" t="n"/>
    </row>
    <row r="809">
      <c r="Q809" s="62" t="n"/>
    </row>
    <row r="810">
      <c r="Q810" s="62" t="n"/>
    </row>
    <row r="811">
      <c r="Q811" s="62" t="n"/>
    </row>
    <row r="812">
      <c r="Q812" s="62" t="n"/>
    </row>
    <row r="813">
      <c r="Q813" s="62" t="n"/>
    </row>
    <row r="814">
      <c r="Q814" s="62" t="n"/>
    </row>
    <row r="815">
      <c r="Q815" s="62" t="n"/>
    </row>
    <row r="816">
      <c r="Q816" s="62" t="n"/>
    </row>
    <row r="817">
      <c r="Q817" s="62" t="n"/>
    </row>
    <row r="818">
      <c r="Q818" s="62" t="n"/>
    </row>
    <row r="819">
      <c r="Q819" s="62" t="n"/>
    </row>
    <row r="820">
      <c r="Q820" s="62" t="n"/>
    </row>
    <row r="821">
      <c r="Q821" s="62" t="n"/>
    </row>
    <row r="822">
      <c r="Q822" s="62" t="n"/>
    </row>
    <row r="823">
      <c r="Q823" s="62" t="n"/>
    </row>
    <row r="824">
      <c r="Q824" s="62" t="n"/>
    </row>
    <row r="825">
      <c r="Q825" s="62" t="n"/>
    </row>
    <row r="826">
      <c r="Q826" s="62" t="n"/>
    </row>
    <row r="827">
      <c r="Q827" s="62" t="n"/>
    </row>
    <row r="828">
      <c r="Q828" s="62" t="n"/>
    </row>
    <row r="829">
      <c r="Q829" s="62" t="n"/>
    </row>
    <row r="830">
      <c r="Q830" s="62" t="n"/>
    </row>
    <row r="831">
      <c r="Q831" s="62" t="n"/>
    </row>
    <row r="832">
      <c r="Q832" s="62" t="n"/>
    </row>
    <row r="833">
      <c r="Q833" s="62" t="n"/>
    </row>
    <row r="834">
      <c r="Q834" s="62" t="n"/>
    </row>
    <row r="835">
      <c r="Q835" s="62" t="n"/>
    </row>
    <row r="836">
      <c r="Q836" s="62" t="n"/>
    </row>
    <row r="837">
      <c r="Q837" s="62" t="n"/>
    </row>
    <row r="838">
      <c r="Q838" s="62" t="n"/>
    </row>
    <row r="839">
      <c r="Q839" s="62" t="n"/>
    </row>
    <row r="840">
      <c r="Q840" s="62" t="n"/>
    </row>
    <row r="841">
      <c r="Q841" s="62" t="n"/>
    </row>
    <row r="842">
      <c r="Q842" s="62" t="n"/>
    </row>
    <row r="843">
      <c r="Q843" s="62" t="n"/>
    </row>
    <row r="844">
      <c r="Q844" s="62" t="n"/>
    </row>
    <row r="845">
      <c r="Q845" s="62" t="n"/>
    </row>
    <row r="846">
      <c r="Q846" s="62" t="n"/>
    </row>
    <row r="847">
      <c r="Q847" s="62" t="n"/>
    </row>
    <row r="848">
      <c r="Q848" s="62" t="n"/>
    </row>
    <row r="849">
      <c r="Q849" s="62" t="n"/>
    </row>
    <row r="850">
      <c r="Q850" s="62" t="n"/>
    </row>
    <row r="851">
      <c r="Q851" s="62" t="n"/>
    </row>
    <row r="852">
      <c r="Q852" s="62" t="n"/>
    </row>
    <row r="853">
      <c r="Q853" s="62" t="n"/>
    </row>
    <row r="854">
      <c r="Q854" s="62" t="n"/>
    </row>
    <row r="855">
      <c r="Q855" s="62" t="n"/>
    </row>
    <row r="856">
      <c r="Q856" s="62" t="n"/>
    </row>
    <row r="857">
      <c r="Q857" s="62" t="n"/>
    </row>
    <row r="858">
      <c r="Q858" s="62" t="n"/>
    </row>
    <row r="859">
      <c r="Q859" s="62" t="n"/>
    </row>
    <row r="860">
      <c r="Q860" s="62" t="n"/>
    </row>
    <row r="861">
      <c r="Q861" s="62" t="n"/>
    </row>
    <row r="862">
      <c r="Q862" s="62" t="n"/>
    </row>
    <row r="863">
      <c r="Q863" s="62" t="n"/>
    </row>
    <row r="864">
      <c r="Q864" s="62" t="n"/>
    </row>
    <row r="865">
      <c r="Q865" s="62" t="n"/>
    </row>
    <row r="866">
      <c r="Q866" s="62" t="n"/>
    </row>
    <row r="867">
      <c r="Q867" s="62" t="n"/>
    </row>
    <row r="868">
      <c r="Q868" s="62" t="n"/>
    </row>
    <row r="869">
      <c r="Q869" s="62" t="n"/>
    </row>
    <row r="870">
      <c r="Q870" s="62" t="n"/>
    </row>
    <row r="871">
      <c r="Q871" s="62" t="n"/>
    </row>
    <row r="872">
      <c r="Q872" s="62" t="n"/>
    </row>
    <row r="873">
      <c r="Q873" s="62" t="n"/>
    </row>
    <row r="874">
      <c r="Q874" s="62" t="n"/>
    </row>
    <row r="875">
      <c r="Q875" s="62" t="n"/>
    </row>
    <row r="876">
      <c r="Q876" s="62" t="n"/>
    </row>
    <row r="877">
      <c r="Q877" s="62" t="n"/>
    </row>
    <row r="878">
      <c r="Q878" s="62" t="n"/>
    </row>
    <row r="879">
      <c r="Q879" s="62" t="n"/>
    </row>
    <row r="880">
      <c r="Q880" s="62" t="n"/>
    </row>
    <row r="881">
      <c r="Q881" s="62" t="n"/>
    </row>
    <row r="882">
      <c r="Q882" s="62" t="n"/>
    </row>
    <row r="883">
      <c r="Q883" s="62" t="n"/>
    </row>
    <row r="884">
      <c r="Q884" s="62" t="n"/>
    </row>
    <row r="885">
      <c r="Q885" s="62" t="n"/>
    </row>
    <row r="886">
      <c r="Q886" s="62" t="n"/>
    </row>
    <row r="887">
      <c r="Q887" s="62" t="n"/>
    </row>
    <row r="888">
      <c r="Q888" s="62" t="n"/>
    </row>
    <row r="889">
      <c r="Q889" s="62" t="n"/>
    </row>
    <row r="890">
      <c r="Q890" s="62" t="n"/>
    </row>
    <row r="891">
      <c r="Q891" s="62" t="n"/>
    </row>
    <row r="892">
      <c r="Q892" s="62" t="n"/>
    </row>
    <row r="893">
      <c r="Q893" s="62" t="n"/>
    </row>
    <row r="894">
      <c r="Q894" s="62" t="n"/>
    </row>
    <row r="895">
      <c r="Q895" s="62" t="n"/>
    </row>
    <row r="896">
      <c r="Q896" s="62" t="n"/>
    </row>
    <row r="897">
      <c r="Q897" s="62" t="n"/>
    </row>
    <row r="898">
      <c r="Q898" s="62" t="n"/>
    </row>
    <row r="899">
      <c r="Q899" s="62" t="n"/>
    </row>
    <row r="900">
      <c r="Q900" s="62" t="n"/>
    </row>
    <row r="901">
      <c r="Q901" s="62" t="n"/>
    </row>
    <row r="902">
      <c r="Q902" s="62" t="n"/>
    </row>
    <row r="903">
      <c r="Q903" s="62" t="n"/>
    </row>
    <row r="904">
      <c r="Q904" s="62" t="n"/>
    </row>
    <row r="905">
      <c r="Q905" s="62" t="n"/>
    </row>
    <row r="906">
      <c r="Q906" s="62" t="n"/>
    </row>
    <row r="907">
      <c r="Q907" s="62" t="n"/>
    </row>
    <row r="908">
      <c r="Q908" s="62" t="n"/>
    </row>
    <row r="909">
      <c r="Q909" s="62" t="n"/>
    </row>
    <row r="910">
      <c r="Q910" s="62" t="n"/>
    </row>
    <row r="911">
      <c r="Q911" s="62" t="n"/>
    </row>
    <row r="912">
      <c r="Q912" s="62" t="n"/>
    </row>
    <row r="913">
      <c r="Q913" s="62" t="n"/>
    </row>
    <row r="914">
      <c r="Q914" s="62" t="n"/>
    </row>
    <row r="915">
      <c r="Q915" s="62" t="n"/>
    </row>
    <row r="916">
      <c r="Q916" s="62" t="n"/>
    </row>
    <row r="917">
      <c r="Q917" s="62" t="n"/>
    </row>
    <row r="918">
      <c r="Q918" s="62" t="n"/>
    </row>
    <row r="919">
      <c r="Q919" s="62" t="n"/>
    </row>
    <row r="920">
      <c r="Q920" s="62" t="n"/>
    </row>
    <row r="921">
      <c r="Q921" s="62" t="n"/>
    </row>
    <row r="922">
      <c r="Q922" s="62" t="n"/>
    </row>
    <row r="923">
      <c r="Q923" s="62" t="n"/>
    </row>
    <row r="924">
      <c r="Q924" s="62" t="n"/>
    </row>
    <row r="925">
      <c r="Q925" s="62" t="n"/>
    </row>
    <row r="926">
      <c r="Q926" s="62" t="n"/>
    </row>
    <row r="927">
      <c r="Q927" s="62" t="n"/>
    </row>
    <row r="928">
      <c r="Q928" s="62" t="n"/>
    </row>
    <row r="929">
      <c r="Q929" s="62" t="n"/>
    </row>
    <row r="930">
      <c r="Q930" s="62" t="n"/>
    </row>
    <row r="931">
      <c r="Q931" s="62" t="n"/>
    </row>
    <row r="932">
      <c r="Q932" s="62" t="n"/>
    </row>
    <row r="933">
      <c r="Q933" s="62" t="n"/>
    </row>
    <row r="934">
      <c r="Q934" s="62" t="n"/>
    </row>
    <row r="935">
      <c r="Q935" s="62" t="n"/>
    </row>
    <row r="936">
      <c r="Q936" s="62" t="n"/>
    </row>
    <row r="937">
      <c r="Q937" s="62" t="n"/>
    </row>
    <row r="938">
      <c r="Q938" s="62" t="n"/>
    </row>
    <row r="939">
      <c r="Q939" s="62" t="n"/>
    </row>
    <row r="940">
      <c r="Q940" s="62" t="n"/>
    </row>
    <row r="941">
      <c r="Q941" s="62" t="n"/>
    </row>
    <row r="942">
      <c r="Q942" s="62" t="n"/>
    </row>
    <row r="943">
      <c r="Q943" s="62" t="n"/>
    </row>
    <row r="944">
      <c r="Q944" s="62" t="n"/>
    </row>
    <row r="945">
      <c r="Q945" s="62" t="n"/>
    </row>
    <row r="946">
      <c r="Q946" s="62" t="n"/>
    </row>
    <row r="947">
      <c r="Q947" s="62" t="n"/>
    </row>
    <row r="948">
      <c r="Q948" s="62" t="n"/>
    </row>
    <row r="949">
      <c r="Q949" s="62" t="n"/>
    </row>
    <row r="950">
      <c r="Q950" s="62" t="n"/>
    </row>
    <row r="951">
      <c r="Q951" s="62" t="n"/>
    </row>
    <row r="952">
      <c r="Q952" s="62" t="n"/>
    </row>
    <row r="953">
      <c r="Q953" s="62" t="n"/>
    </row>
    <row r="954">
      <c r="Q954" s="62" t="n"/>
    </row>
    <row r="955">
      <c r="Q955" s="62" t="n"/>
    </row>
    <row r="956">
      <c r="Q956" s="62" t="n"/>
    </row>
    <row r="957">
      <c r="Q957" s="62" t="n"/>
    </row>
    <row r="958">
      <c r="Q958" s="62" t="n"/>
    </row>
    <row r="959">
      <c r="Q959" s="62" t="n"/>
    </row>
    <row r="960">
      <c r="Q960" s="62" t="n"/>
    </row>
    <row r="961">
      <c r="Q961" s="62" t="n"/>
    </row>
    <row r="962">
      <c r="Q962" s="62" t="n"/>
    </row>
    <row r="963">
      <c r="Q963" s="62" t="n"/>
    </row>
    <row r="964">
      <c r="Q964" s="62" t="n"/>
    </row>
    <row r="965">
      <c r="Q965" s="62" t="n"/>
    </row>
    <row r="966">
      <c r="Q966" s="62" t="n"/>
    </row>
    <row r="967">
      <c r="Q967" s="62" t="n"/>
    </row>
    <row r="968">
      <c r="Q968" s="62" t="n"/>
    </row>
    <row r="969">
      <c r="Q969" s="62" t="n"/>
    </row>
    <row r="970">
      <c r="Q970" s="62" t="n"/>
    </row>
    <row r="971">
      <c r="Q971" s="62" t="n"/>
    </row>
    <row r="972">
      <c r="Q972" s="62" t="n"/>
    </row>
    <row r="973">
      <c r="Q973" s="62" t="n"/>
    </row>
    <row r="974">
      <c r="Q974" s="62" t="n"/>
    </row>
    <row r="975">
      <c r="Q975" s="62" t="n"/>
    </row>
    <row r="976">
      <c r="Q976" s="62" t="n"/>
    </row>
    <row r="977">
      <c r="Q977" s="62" t="n"/>
    </row>
    <row r="978">
      <c r="Q978" s="62" t="n"/>
    </row>
    <row r="979">
      <c r="Q979" s="62" t="n"/>
    </row>
    <row r="980">
      <c r="Q980" s="62" t="n"/>
    </row>
    <row r="981">
      <c r="Q981" s="62" t="n"/>
    </row>
    <row r="982">
      <c r="Q982" s="62" t="n"/>
    </row>
    <row r="983">
      <c r="Q983" s="62" t="n"/>
    </row>
    <row r="984">
      <c r="Q984" s="62" t="n"/>
    </row>
    <row r="985">
      <c r="Q985" s="62" t="n"/>
    </row>
    <row r="986">
      <c r="Q986" s="62" t="n"/>
    </row>
    <row r="987">
      <c r="Q987" s="62" t="n"/>
    </row>
    <row r="988">
      <c r="Q988" s="62" t="n"/>
    </row>
    <row r="989">
      <c r="Q989" s="62" t="n"/>
    </row>
    <row r="990">
      <c r="Q990" s="62" t="n"/>
    </row>
    <row r="991">
      <c r="Q991" s="62" t="n"/>
    </row>
    <row r="992">
      <c r="Q992" s="62" t="n"/>
    </row>
    <row r="993">
      <c r="Q993" s="62" t="n"/>
    </row>
    <row r="994">
      <c r="Q994" s="62" t="n"/>
    </row>
    <row r="995">
      <c r="Q995" s="62" t="n"/>
    </row>
    <row r="996">
      <c r="Q996" s="62" t="n"/>
    </row>
    <row r="997">
      <c r="Q997" s="62" t="n"/>
    </row>
    <row r="998">
      <c r="Q998" s="62" t="n"/>
    </row>
    <row r="999">
      <c r="Q999" s="62" t="n"/>
    </row>
    <row r="1000">
      <c r="Q1000" s="62" t="n"/>
    </row>
    <row r="1001">
      <c r="Q1001" s="62" t="n"/>
    </row>
    <row r="1002">
      <c r="Q1002" s="62" t="n"/>
    </row>
    <row r="1003">
      <c r="Q1003" s="62" t="n"/>
    </row>
    <row r="1004">
      <c r="Q1004" s="62" t="n"/>
    </row>
    <row r="1005">
      <c r="Q1005" s="62" t="n"/>
    </row>
    <row r="1006">
      <c r="Q1006" s="62" t="n"/>
    </row>
    <row r="1007">
      <c r="Q1007" s="62" t="n"/>
    </row>
    <row r="1008">
      <c r="Q1008" s="62" t="n"/>
    </row>
    <row r="1009">
      <c r="Q1009" s="62" t="n"/>
    </row>
    <row r="1010">
      <c r="Q1010" s="62" t="n"/>
    </row>
    <row r="1011">
      <c r="Q1011" s="62" t="n"/>
    </row>
    <row r="1012">
      <c r="Q1012" s="62" t="n"/>
    </row>
    <row r="1013">
      <c r="Q1013" s="62" t="n"/>
    </row>
    <row r="1014">
      <c r="Q1014" s="62" t="n"/>
    </row>
    <row r="1015">
      <c r="Q1015" s="62" t="n"/>
    </row>
    <row r="1016">
      <c r="Q1016" s="62" t="n"/>
    </row>
    <row r="1017">
      <c r="Q1017" s="62" t="n"/>
    </row>
    <row r="1018">
      <c r="Q1018" s="62" t="n"/>
    </row>
    <row r="1019">
      <c r="Q1019" s="62" t="n"/>
    </row>
    <row r="1020">
      <c r="Q1020" s="62" t="n"/>
    </row>
    <row r="1021">
      <c r="Q1021" s="62" t="n"/>
    </row>
    <row r="1022">
      <c r="Q1022" s="62" t="n"/>
    </row>
    <row r="1023">
      <c r="Q1023" s="62" t="n"/>
    </row>
    <row r="1024">
      <c r="Q1024" s="62" t="n"/>
    </row>
    <row r="1025">
      <c r="Q1025" s="62" t="n"/>
    </row>
    <row r="1026">
      <c r="Q1026" s="62" t="n"/>
    </row>
    <row r="1027">
      <c r="Q1027" s="62" t="n"/>
    </row>
    <row r="1028">
      <c r="Q1028" s="62" t="n"/>
    </row>
    <row r="1029">
      <c r="Q1029" s="62" t="n"/>
    </row>
    <row r="1030">
      <c r="Q1030" s="62" t="n"/>
    </row>
    <row r="1031">
      <c r="Q1031" s="62" t="n"/>
    </row>
    <row r="1032">
      <c r="Q1032" s="62" t="n"/>
    </row>
    <row r="1033">
      <c r="Q1033" s="62" t="n"/>
    </row>
    <row r="1034">
      <c r="Q1034" s="62" t="n"/>
    </row>
    <row r="1035">
      <c r="Q1035" s="62" t="n"/>
    </row>
    <row r="1036">
      <c r="Q1036" s="62" t="n"/>
    </row>
    <row r="1037">
      <c r="Q1037" s="62" t="n"/>
    </row>
    <row r="1038">
      <c r="Q1038" s="62" t="n"/>
    </row>
    <row r="1039">
      <c r="Q1039" s="62" t="n"/>
    </row>
    <row r="1040">
      <c r="Q1040" s="62" t="n"/>
    </row>
    <row r="1041">
      <c r="Q1041" s="62" t="n"/>
    </row>
    <row r="1042">
      <c r="Q1042" s="62" t="n"/>
    </row>
    <row r="1043">
      <c r="Q1043" s="62" t="n"/>
    </row>
    <row r="1044">
      <c r="Q1044" s="62" t="n"/>
    </row>
    <row r="1045">
      <c r="Q1045" s="62" t="n"/>
    </row>
    <row r="1046">
      <c r="Q1046" s="62" t="n"/>
    </row>
    <row r="1047">
      <c r="Q1047" s="62" t="n"/>
    </row>
    <row r="1048">
      <c r="Q1048" s="62" t="n"/>
    </row>
    <row r="1049">
      <c r="Q1049" s="62" t="n"/>
    </row>
    <row r="1050">
      <c r="Q1050" s="62" t="n"/>
    </row>
    <row r="1051">
      <c r="Q1051" s="62" t="n"/>
    </row>
    <row r="1052">
      <c r="Q1052" s="62" t="n"/>
    </row>
    <row r="1053">
      <c r="Q1053" s="62" t="n"/>
    </row>
    <row r="1054">
      <c r="Q1054" s="62" t="n"/>
    </row>
    <row r="1055">
      <c r="Q1055" s="62" t="n"/>
    </row>
    <row r="1056">
      <c r="Q1056" s="62" t="n"/>
    </row>
    <row r="1057">
      <c r="Q1057" s="62" t="n"/>
    </row>
    <row r="1058">
      <c r="Q1058" s="62" t="n"/>
    </row>
    <row r="1059">
      <c r="Q1059" s="62" t="n"/>
    </row>
    <row r="1060">
      <c r="Q1060" s="62" t="n"/>
    </row>
    <row r="1061">
      <c r="Q1061" s="62" t="n"/>
    </row>
    <row r="1062">
      <c r="Q1062" s="62" t="n"/>
    </row>
    <row r="1063">
      <c r="Q1063" s="62" t="n"/>
    </row>
    <row r="1064">
      <c r="Q1064" s="62" t="n"/>
    </row>
    <row r="1065">
      <c r="Q1065" s="62" t="n"/>
    </row>
    <row r="1066">
      <c r="Q1066" s="62" t="n"/>
    </row>
    <row r="1067">
      <c r="Q1067" s="62" t="n"/>
    </row>
    <row r="1068">
      <c r="Q1068" s="62" t="n"/>
    </row>
    <row r="1069">
      <c r="Q1069" s="62" t="n"/>
    </row>
    <row r="1070">
      <c r="Q1070" s="62" t="n"/>
    </row>
    <row r="1071">
      <c r="Q1071" s="62" t="n"/>
    </row>
    <row r="1072">
      <c r="Q1072" s="62" t="n"/>
    </row>
    <row r="1073">
      <c r="Q1073" s="62" t="n"/>
    </row>
    <row r="1074">
      <c r="Q1074" s="62" t="n"/>
    </row>
    <row r="1075">
      <c r="Q1075" s="62" t="n"/>
    </row>
    <row r="1076">
      <c r="Q1076" s="62" t="n"/>
    </row>
    <row r="1077">
      <c r="Q1077" s="62" t="n"/>
    </row>
    <row r="1078">
      <c r="Q1078" s="62" t="n"/>
    </row>
    <row r="1079">
      <c r="Q1079" s="62" t="n"/>
    </row>
    <row r="1080">
      <c r="Q1080" s="62" t="n"/>
    </row>
    <row r="1081">
      <c r="Q1081" s="62" t="n"/>
    </row>
    <row r="1082">
      <c r="Q1082" s="62" t="n"/>
    </row>
    <row r="1083">
      <c r="Q1083" s="62" t="n"/>
    </row>
    <row r="1084">
      <c r="Q1084" s="62" t="n"/>
    </row>
    <row r="1085">
      <c r="Q1085" s="62" t="n"/>
    </row>
    <row r="1086">
      <c r="Q1086" s="62" t="n"/>
    </row>
    <row r="1087">
      <c r="Q1087" s="62" t="n"/>
    </row>
    <row r="1088">
      <c r="Q1088" s="62" t="n"/>
    </row>
    <row r="1089">
      <c r="Q1089" s="62" t="n"/>
    </row>
    <row r="1090">
      <c r="Q1090" s="62" t="n"/>
    </row>
    <row r="1091">
      <c r="Q1091" s="62" t="n"/>
    </row>
    <row r="1092">
      <c r="Q1092" s="62" t="n"/>
    </row>
    <row r="1093">
      <c r="Q1093" s="62" t="n"/>
    </row>
    <row r="1094">
      <c r="Q1094" s="62" t="n"/>
    </row>
    <row r="1095">
      <c r="Q1095" s="62" t="n"/>
    </row>
    <row r="1096">
      <c r="Q1096" s="62" t="n"/>
    </row>
    <row r="1097">
      <c r="Q1097" s="62" t="n"/>
    </row>
    <row r="1098">
      <c r="Q1098" s="62" t="n"/>
    </row>
    <row r="1099">
      <c r="Q1099" s="62" t="n"/>
    </row>
    <row r="1100">
      <c r="Q1100" s="62" t="n"/>
    </row>
    <row r="1101">
      <c r="Q1101" s="62" t="n"/>
    </row>
    <row r="1102">
      <c r="Q1102" s="62" t="n"/>
    </row>
    <row r="1103">
      <c r="Q1103" s="62" t="n"/>
    </row>
    <row r="1104">
      <c r="Q1104" s="62" t="n"/>
    </row>
    <row r="1105">
      <c r="Q1105" s="62" t="n"/>
    </row>
    <row r="1106">
      <c r="Q1106" s="62" t="n"/>
    </row>
    <row r="1107">
      <c r="Q1107" s="62" t="n"/>
    </row>
    <row r="1108">
      <c r="Q1108" s="62" t="n"/>
    </row>
    <row r="1109">
      <c r="Q1109" s="62" t="n"/>
    </row>
    <row r="1110">
      <c r="Q1110" s="62" t="n"/>
    </row>
    <row r="1111">
      <c r="Q1111" s="62" t="n"/>
    </row>
    <row r="1112">
      <c r="Q1112" s="62" t="n"/>
    </row>
    <row r="1113">
      <c r="Q1113" s="62" t="n"/>
    </row>
    <row r="1114">
      <c r="Q1114" s="62" t="n"/>
    </row>
    <row r="1115">
      <c r="Q1115" s="62" t="n"/>
    </row>
    <row r="1116">
      <c r="Q1116" s="62" t="n"/>
    </row>
    <row r="1117">
      <c r="Q1117" s="62" t="n"/>
    </row>
    <row r="1118">
      <c r="Q1118" s="62" t="n"/>
    </row>
    <row r="1119">
      <c r="Q1119" s="62" t="n"/>
    </row>
    <row r="1120">
      <c r="Q1120" s="62" t="n"/>
    </row>
    <row r="1121">
      <c r="Q1121" s="62" t="n"/>
    </row>
    <row r="1122">
      <c r="Q1122" s="62" t="n"/>
    </row>
    <row r="1123">
      <c r="Q1123" s="62" t="n"/>
    </row>
    <row r="1124">
      <c r="Q1124" s="62" t="n"/>
    </row>
    <row r="1125">
      <c r="Q1125" s="62" t="n"/>
    </row>
    <row r="1126">
      <c r="Q1126" s="62" t="n"/>
    </row>
    <row r="1127">
      <c r="Q1127" s="62" t="n"/>
    </row>
    <row r="1128">
      <c r="Q1128" s="62" t="n"/>
    </row>
    <row r="1129">
      <c r="Q1129" s="62" t="n"/>
    </row>
    <row r="1130">
      <c r="Q1130" s="62" t="n"/>
    </row>
    <row r="1131">
      <c r="Q1131" s="62" t="n"/>
    </row>
    <row r="1132">
      <c r="Q1132" s="62" t="n"/>
    </row>
    <row r="1133">
      <c r="Q1133" s="62" t="n"/>
    </row>
    <row r="1134">
      <c r="Q1134" s="62" t="n"/>
    </row>
    <row r="1135">
      <c r="Q1135" s="62" t="n"/>
    </row>
    <row r="1136">
      <c r="Q1136" s="62" t="n"/>
    </row>
    <row r="1137">
      <c r="Q1137" s="62" t="n"/>
    </row>
    <row r="1138">
      <c r="Q1138" s="62" t="n"/>
    </row>
    <row r="1139">
      <c r="Q1139" s="62" t="n"/>
    </row>
    <row r="1140">
      <c r="Q1140" s="62" t="n"/>
    </row>
    <row r="1141">
      <c r="Q1141" s="62" t="n"/>
    </row>
    <row r="1142">
      <c r="Q1142" s="62" t="n"/>
    </row>
    <row r="1143">
      <c r="Q1143" s="62" t="n"/>
    </row>
    <row r="1144">
      <c r="Q1144" s="62" t="n"/>
    </row>
    <row r="1145">
      <c r="Q1145" s="62" t="n"/>
    </row>
    <row r="1146">
      <c r="Q1146" s="62" t="n"/>
    </row>
    <row r="1147">
      <c r="Q1147" s="62" t="n"/>
    </row>
    <row r="1148">
      <c r="Q1148" s="62" t="n"/>
    </row>
    <row r="1149">
      <c r="Q1149" s="62" t="n"/>
    </row>
    <row r="1150">
      <c r="Q1150" s="62" t="n"/>
    </row>
    <row r="1151">
      <c r="Q1151" s="62" t="n"/>
    </row>
    <row r="1152">
      <c r="Q1152" s="62" t="n"/>
    </row>
    <row r="1153">
      <c r="Q1153" s="62" t="n"/>
    </row>
    <row r="1154">
      <c r="Q1154" s="62" t="n"/>
    </row>
    <row r="1155">
      <c r="Q1155" s="62" t="n"/>
    </row>
    <row r="1156">
      <c r="Q1156" s="62" t="n"/>
    </row>
    <row r="1157">
      <c r="Q1157" s="62" t="n"/>
    </row>
    <row r="1158">
      <c r="Q1158" s="62" t="n"/>
    </row>
    <row r="1159">
      <c r="Q1159" s="62" t="n"/>
    </row>
    <row r="1160">
      <c r="Q1160" s="62" t="n"/>
    </row>
    <row r="1161">
      <c r="Q1161" s="62" t="n"/>
    </row>
    <row r="1162">
      <c r="Q1162" s="62" t="n"/>
    </row>
    <row r="1163">
      <c r="Q1163" s="62" t="n"/>
    </row>
    <row r="1164">
      <c r="Q1164" s="62" t="n"/>
    </row>
    <row r="1165">
      <c r="Q1165" s="62" t="n"/>
    </row>
    <row r="1166">
      <c r="Q1166" s="62" t="n"/>
    </row>
    <row r="1167">
      <c r="Q1167" s="62" t="n"/>
    </row>
    <row r="1168">
      <c r="Q1168" s="62" t="n"/>
    </row>
    <row r="1169">
      <c r="Q1169" s="62" t="n"/>
    </row>
    <row r="1170">
      <c r="Q1170" s="62" t="n"/>
    </row>
    <row r="1171">
      <c r="Q1171" s="62" t="n"/>
    </row>
    <row r="1172">
      <c r="Q1172" s="62" t="n"/>
    </row>
    <row r="1173">
      <c r="Q1173" s="62" t="n"/>
    </row>
    <row r="1174">
      <c r="Q1174" s="62" t="n"/>
    </row>
    <row r="1175">
      <c r="Q1175" s="62" t="n"/>
    </row>
    <row r="1176">
      <c r="Q1176" s="62" t="n"/>
    </row>
    <row r="1177">
      <c r="Q1177" s="62" t="n"/>
    </row>
    <row r="1178">
      <c r="Q1178" s="62" t="n"/>
    </row>
    <row r="1179">
      <c r="Q1179" s="62" t="n"/>
    </row>
    <row r="1180">
      <c r="Q1180" s="62" t="n"/>
    </row>
    <row r="1181">
      <c r="Q1181" s="62" t="n"/>
    </row>
    <row r="1182">
      <c r="Q1182" s="62" t="n"/>
    </row>
    <row r="1183">
      <c r="Q1183" s="62" t="n"/>
    </row>
    <row r="1184">
      <c r="Q1184" s="62" t="n"/>
    </row>
    <row r="1185">
      <c r="Q1185" s="62" t="n"/>
    </row>
    <row r="1186">
      <c r="Q1186" s="62" t="n"/>
    </row>
    <row r="1187">
      <c r="Q1187" s="62" t="n"/>
    </row>
    <row r="1188">
      <c r="Q1188" s="62" t="n"/>
    </row>
    <row r="1189">
      <c r="Q1189" s="62" t="n"/>
    </row>
    <row r="1190">
      <c r="Q1190" s="62" t="n"/>
    </row>
    <row r="1191">
      <c r="Q1191" s="62" t="n"/>
    </row>
    <row r="1192">
      <c r="Q1192" s="62" t="n"/>
    </row>
    <row r="1193">
      <c r="Q1193" s="62" t="n"/>
    </row>
    <row r="1194">
      <c r="Q1194" s="62" t="n"/>
    </row>
    <row r="1195">
      <c r="Q1195" s="62" t="n"/>
    </row>
    <row r="1196">
      <c r="Q1196" s="62" t="n"/>
    </row>
    <row r="1197">
      <c r="Q1197" s="62" t="n"/>
    </row>
    <row r="1198">
      <c r="Q1198" s="62" t="n"/>
    </row>
    <row r="1199">
      <c r="Q1199" s="62" t="n"/>
    </row>
    <row r="1200">
      <c r="Q1200" s="62" t="n"/>
    </row>
    <row r="1201">
      <c r="Q1201" s="62" t="n"/>
    </row>
    <row r="1202">
      <c r="Q1202" s="62" t="n"/>
    </row>
    <row r="1203">
      <c r="Q1203" s="62" t="n"/>
    </row>
    <row r="1204">
      <c r="Q1204" s="62" t="n"/>
    </row>
    <row r="1205">
      <c r="Q1205" s="62" t="n"/>
    </row>
    <row r="1206">
      <c r="Q1206" s="62" t="n"/>
    </row>
    <row r="1207">
      <c r="Q1207" s="62" t="n"/>
    </row>
    <row r="1208">
      <c r="Q1208" s="62" t="n"/>
    </row>
    <row r="1209">
      <c r="Q1209" s="62" t="n"/>
    </row>
    <row r="1210">
      <c r="Q1210" s="62" t="n"/>
    </row>
    <row r="1211">
      <c r="Q1211" s="62" t="n"/>
    </row>
    <row r="1212">
      <c r="Q1212" s="62" t="n"/>
    </row>
    <row r="1213">
      <c r="Q1213" s="62" t="n"/>
    </row>
    <row r="1214">
      <c r="Q1214" s="62" t="n"/>
    </row>
    <row r="1215">
      <c r="Q1215" s="62" t="n"/>
    </row>
    <row r="1216">
      <c r="Q1216" s="62" t="n"/>
    </row>
    <row r="1217">
      <c r="Q1217" s="62" t="n"/>
    </row>
    <row r="1218">
      <c r="Q1218" s="62" t="n"/>
    </row>
    <row r="1219">
      <c r="Q1219" s="62" t="n"/>
    </row>
    <row r="1220">
      <c r="Q1220" s="62" t="n"/>
    </row>
    <row r="1221">
      <c r="Q1221" s="62" t="n"/>
    </row>
    <row r="1222">
      <c r="Q1222" s="62" t="n"/>
    </row>
    <row r="1223">
      <c r="Q1223" s="62" t="n"/>
    </row>
    <row r="1224">
      <c r="Q1224" s="62" t="n"/>
    </row>
    <row r="1225">
      <c r="Q1225" s="62" t="n"/>
    </row>
    <row r="1226">
      <c r="Q1226" s="62" t="n"/>
    </row>
    <row r="1227">
      <c r="Q1227" s="62" t="n"/>
    </row>
    <row r="1228">
      <c r="Q1228" s="62" t="n"/>
    </row>
    <row r="1229">
      <c r="Q1229" s="62" t="n"/>
    </row>
    <row r="1230">
      <c r="Q1230" s="62" t="n"/>
    </row>
    <row r="1231">
      <c r="Q1231" s="62" t="n"/>
    </row>
    <row r="1232">
      <c r="Q1232" s="62" t="n"/>
    </row>
    <row r="1233">
      <c r="Q1233" s="62" t="n"/>
    </row>
    <row r="1234">
      <c r="Q1234" s="62" t="n"/>
    </row>
    <row r="1235">
      <c r="Q1235" s="62" t="n"/>
    </row>
    <row r="1236">
      <c r="Q1236" s="62" t="n"/>
    </row>
    <row r="1237">
      <c r="Q1237" s="62" t="n"/>
    </row>
    <row r="1238">
      <c r="Q1238" s="62" t="n"/>
    </row>
    <row r="1239">
      <c r="Q1239" s="62" t="n"/>
    </row>
    <row r="1240">
      <c r="Q1240" s="62" t="n"/>
    </row>
    <row r="1241">
      <c r="Q1241" s="62" t="n"/>
    </row>
    <row r="1242">
      <c r="Q1242" s="62" t="n"/>
    </row>
    <row r="1243">
      <c r="Q1243" s="62" t="n"/>
    </row>
    <row r="1244">
      <c r="Q1244" s="62" t="n"/>
    </row>
    <row r="1245">
      <c r="Q1245" s="62" t="n"/>
    </row>
    <row r="1246">
      <c r="Q1246" s="62" t="n"/>
    </row>
    <row r="1247">
      <c r="Q1247" s="62" t="n"/>
    </row>
    <row r="1248">
      <c r="Q1248" s="62" t="n"/>
    </row>
    <row r="1249">
      <c r="Q1249" s="62" t="n"/>
    </row>
    <row r="1250">
      <c r="Q1250" s="62" t="n"/>
    </row>
    <row r="1251">
      <c r="Q1251" s="62" t="n"/>
    </row>
    <row r="1252">
      <c r="Q1252" s="62" t="n"/>
    </row>
    <row r="1253">
      <c r="Q1253" s="62" t="n"/>
    </row>
    <row r="1254">
      <c r="Q1254" s="62" t="n"/>
    </row>
    <row r="1255">
      <c r="Q1255" s="62" t="n"/>
    </row>
    <row r="1256">
      <c r="Q1256" s="62" t="n"/>
    </row>
    <row r="1257">
      <c r="Q1257" s="62" t="n"/>
    </row>
    <row r="1258">
      <c r="Q1258" s="62" t="n"/>
    </row>
    <row r="1259">
      <c r="Q1259" s="62" t="n"/>
    </row>
    <row r="1260">
      <c r="Q1260" s="62" t="n"/>
    </row>
    <row r="1261">
      <c r="Q1261" s="62" t="n"/>
    </row>
    <row r="1262">
      <c r="Q1262" s="62" t="n"/>
    </row>
    <row r="1263">
      <c r="Q1263" s="62" t="n"/>
    </row>
    <row r="1264">
      <c r="Q1264" s="62" t="n"/>
    </row>
    <row r="1265">
      <c r="Q1265" s="62" t="n"/>
    </row>
    <row r="1266">
      <c r="Q1266" s="62" t="n"/>
    </row>
    <row r="1267">
      <c r="Q1267" s="62" t="n"/>
    </row>
    <row r="1268">
      <c r="Q1268" s="62" t="n"/>
    </row>
    <row r="1269">
      <c r="Q1269" s="62" t="n"/>
    </row>
    <row r="1270">
      <c r="Q1270" s="62" t="n"/>
    </row>
    <row r="1271">
      <c r="Q1271" s="62" t="n"/>
    </row>
    <row r="1272">
      <c r="Q1272" s="62" t="n"/>
    </row>
    <row r="1273">
      <c r="Q1273" s="62" t="n"/>
    </row>
    <row r="1274">
      <c r="Q1274" s="62" t="n"/>
    </row>
    <row r="1275">
      <c r="Q1275" s="62" t="n"/>
    </row>
    <row r="1276">
      <c r="Q1276" s="62" t="n"/>
    </row>
    <row r="1277">
      <c r="Q1277" s="62" t="n"/>
    </row>
    <row r="1278">
      <c r="Q1278" s="62" t="n"/>
    </row>
    <row r="1279">
      <c r="Q1279" s="62" t="n"/>
    </row>
    <row r="1280">
      <c r="Q1280" s="62" t="n"/>
    </row>
    <row r="1281">
      <c r="Q1281" s="62" t="n"/>
    </row>
    <row r="1282">
      <c r="Q1282" s="62" t="n"/>
    </row>
    <row r="1283">
      <c r="Q1283" s="62" t="n"/>
    </row>
    <row r="1284">
      <c r="Q1284" s="62" t="n"/>
    </row>
    <row r="1285">
      <c r="Q1285" s="62" t="n"/>
    </row>
    <row r="1286">
      <c r="Q1286" s="62" t="n"/>
    </row>
    <row r="1287">
      <c r="Q1287" s="62" t="n"/>
    </row>
    <row r="1288">
      <c r="Q1288" s="62" t="n"/>
    </row>
    <row r="1289">
      <c r="Q1289" s="62" t="n"/>
    </row>
    <row r="1290">
      <c r="Q1290" s="62" t="n"/>
    </row>
    <row r="1291">
      <c r="Q1291" s="62" t="n"/>
    </row>
    <row r="1292">
      <c r="Q1292" s="62" t="n"/>
    </row>
    <row r="1293">
      <c r="Q1293" s="62" t="n"/>
    </row>
    <row r="1294">
      <c r="Q1294" s="62" t="n"/>
    </row>
    <row r="1295">
      <c r="Q1295" s="62" t="n"/>
    </row>
    <row r="1296">
      <c r="Q1296" s="62" t="n"/>
    </row>
    <row r="1297">
      <c r="Q1297" s="62" t="n"/>
    </row>
    <row r="1298">
      <c r="Q1298" s="62" t="n"/>
    </row>
    <row r="1299">
      <c r="Q1299" s="62" t="n"/>
    </row>
    <row r="1300">
      <c r="Q1300" s="62" t="n"/>
    </row>
    <row r="1301">
      <c r="Q1301" s="62" t="n"/>
    </row>
    <row r="1302">
      <c r="Q1302" s="62" t="n"/>
    </row>
    <row r="1303">
      <c r="Q1303" s="62" t="n"/>
    </row>
    <row r="1304">
      <c r="Q1304" s="62" t="n"/>
    </row>
    <row r="1305">
      <c r="Q1305" s="62" t="n"/>
    </row>
    <row r="1306">
      <c r="Q1306" s="62" t="n"/>
    </row>
    <row r="1307">
      <c r="Q1307" s="62" t="n"/>
    </row>
    <row r="1308">
      <c r="Q1308" s="62" t="n"/>
    </row>
    <row r="1309">
      <c r="Q1309" s="62" t="n"/>
    </row>
    <row r="1310">
      <c r="Q1310" s="62" t="n"/>
    </row>
    <row r="1311">
      <c r="Q1311" s="62" t="n"/>
    </row>
    <row r="1312">
      <c r="Q1312" s="62" t="n"/>
    </row>
    <row r="1313">
      <c r="Q1313" s="62" t="n"/>
    </row>
    <row r="1314">
      <c r="Q1314" s="62" t="n"/>
    </row>
    <row r="1315">
      <c r="Q1315" s="62" t="n"/>
    </row>
    <row r="1316">
      <c r="Q1316" s="62" t="n"/>
    </row>
    <row r="1317">
      <c r="Q1317" s="62" t="n"/>
    </row>
    <row r="1318">
      <c r="Q1318" s="62" t="n"/>
    </row>
    <row r="1319">
      <c r="Q1319" s="62" t="n"/>
    </row>
    <row r="1320">
      <c r="Q1320" s="62" t="n"/>
    </row>
    <row r="1321">
      <c r="Q1321" s="62" t="n"/>
    </row>
    <row r="1322">
      <c r="Q1322" s="62" t="n"/>
    </row>
    <row r="1323">
      <c r="Q1323" s="62" t="n"/>
    </row>
    <row r="1324">
      <c r="Q1324" s="62" t="n"/>
    </row>
    <row r="1325">
      <c r="Q1325" s="62" t="n"/>
    </row>
    <row r="1326">
      <c r="Q1326" s="62" t="n"/>
    </row>
    <row r="1327">
      <c r="Q1327" s="62" t="n"/>
    </row>
    <row r="1328">
      <c r="Q1328" s="62" t="n"/>
    </row>
    <row r="1329">
      <c r="Q1329" s="62" t="n"/>
    </row>
    <row r="1330">
      <c r="Q1330" s="62" t="n"/>
    </row>
    <row r="1331">
      <c r="Q1331" s="62" t="n"/>
    </row>
    <row r="1332">
      <c r="Q1332" s="62" t="n"/>
    </row>
    <row r="1333">
      <c r="Q1333" s="62" t="n"/>
    </row>
    <row r="1334">
      <c r="Q1334" s="62" t="n"/>
    </row>
    <row r="1335">
      <c r="Q1335" s="62" t="n"/>
    </row>
    <row r="1336">
      <c r="Q1336" s="62" t="n"/>
    </row>
    <row r="1337">
      <c r="Q1337" s="62" t="n"/>
    </row>
    <row r="1338">
      <c r="Q1338" s="62" t="n"/>
    </row>
    <row r="1339">
      <c r="Q1339" s="62" t="n"/>
    </row>
    <row r="1340">
      <c r="Q1340" s="62" t="n"/>
    </row>
    <row r="1341">
      <c r="Q1341" s="62" t="n"/>
    </row>
    <row r="1342">
      <c r="Q1342" s="62" t="n"/>
    </row>
    <row r="1343">
      <c r="Q1343" s="62" t="n"/>
    </row>
    <row r="1344">
      <c r="Q1344" s="62" t="n"/>
    </row>
    <row r="1345">
      <c r="Q1345" s="62" t="n"/>
    </row>
    <row r="1346">
      <c r="Q1346" s="62" t="n"/>
    </row>
    <row r="1347">
      <c r="Q1347" s="62" t="n"/>
    </row>
    <row r="1348">
      <c r="Q1348" s="62" t="n"/>
    </row>
    <row r="1349">
      <c r="Q1349" s="62" t="n"/>
    </row>
    <row r="1350">
      <c r="Q1350" s="62" t="n"/>
    </row>
    <row r="1351">
      <c r="Q1351" s="62" t="n"/>
    </row>
    <row r="1352">
      <c r="Q1352" s="62" t="n"/>
    </row>
    <row r="1353">
      <c r="Q1353" s="62" t="n"/>
    </row>
    <row r="1354">
      <c r="Q1354" s="62" t="n"/>
    </row>
    <row r="1355">
      <c r="Q1355" s="62" t="n"/>
    </row>
    <row r="1356">
      <c r="Q1356" s="62" t="n"/>
    </row>
    <row r="1357">
      <c r="Q1357" s="62" t="n"/>
    </row>
    <row r="1358">
      <c r="Q1358" s="62" t="n"/>
    </row>
    <row r="1359">
      <c r="Q1359" s="62" t="n"/>
    </row>
    <row r="1360">
      <c r="Q1360" s="62" t="n"/>
    </row>
    <row r="1361">
      <c r="Q1361" s="62" t="n"/>
    </row>
    <row r="1362">
      <c r="Q1362" s="62" t="n"/>
    </row>
    <row r="1363">
      <c r="Q1363" s="62" t="n"/>
    </row>
    <row r="1364">
      <c r="Q1364" s="62" t="n"/>
    </row>
    <row r="1365">
      <c r="Q1365" s="62" t="n"/>
    </row>
    <row r="1366">
      <c r="Q1366" s="62" t="n"/>
    </row>
    <row r="1367">
      <c r="Q1367" s="62" t="n"/>
    </row>
    <row r="1368">
      <c r="Q1368" s="62" t="n"/>
    </row>
    <row r="1369">
      <c r="Q1369" s="62" t="n"/>
    </row>
    <row r="1370">
      <c r="Q1370" s="62" t="n"/>
    </row>
    <row r="1371">
      <c r="Q1371" s="62" t="n"/>
    </row>
    <row r="1372">
      <c r="Q1372" s="62" t="n"/>
    </row>
    <row r="1373">
      <c r="Q1373" s="62" t="n"/>
    </row>
    <row r="1374">
      <c r="Q1374" s="62" t="n"/>
    </row>
    <row r="1375">
      <c r="Q1375" s="62" t="n"/>
    </row>
    <row r="1376">
      <c r="Q1376" s="62" t="n"/>
    </row>
    <row r="1377">
      <c r="Q1377" s="62" t="n"/>
    </row>
    <row r="1378">
      <c r="Q1378" s="62" t="n"/>
    </row>
    <row r="1379">
      <c r="Q1379" s="62" t="n"/>
    </row>
    <row r="1380">
      <c r="Q1380" s="62" t="n"/>
    </row>
    <row r="1381">
      <c r="Q1381" s="62" t="n"/>
    </row>
    <row r="1382">
      <c r="Q1382" s="62" t="n"/>
    </row>
    <row r="1383">
      <c r="Q1383" s="62" t="n"/>
    </row>
    <row r="1384">
      <c r="Q1384" s="62" t="n"/>
    </row>
    <row r="1385">
      <c r="Q1385" s="62" t="n"/>
    </row>
    <row r="1386">
      <c r="Q1386" s="62" t="n"/>
    </row>
    <row r="1387">
      <c r="Q1387" s="62" t="n"/>
    </row>
    <row r="1388">
      <c r="Q1388" s="62" t="n"/>
    </row>
    <row r="1389">
      <c r="Q1389" s="62" t="n"/>
    </row>
    <row r="1390">
      <c r="Q1390" s="62" t="n"/>
    </row>
    <row r="1391">
      <c r="Q1391" s="62" t="n"/>
    </row>
    <row r="1392">
      <c r="Q1392" s="62" t="n"/>
    </row>
    <row r="1393">
      <c r="Q1393" s="62" t="n"/>
    </row>
    <row r="1394">
      <c r="Q1394" s="62" t="n"/>
    </row>
    <row r="1395">
      <c r="Q1395" s="62" t="n"/>
    </row>
    <row r="1396">
      <c r="Q1396" s="62" t="n"/>
    </row>
    <row r="1397">
      <c r="Q1397" s="62" t="n"/>
    </row>
    <row r="1398">
      <c r="Q1398" s="62" t="n"/>
    </row>
    <row r="1399">
      <c r="Q1399" s="62" t="n"/>
    </row>
    <row r="1400">
      <c r="Q1400" s="62" t="n"/>
    </row>
    <row r="1401">
      <c r="Q1401" s="62" t="n"/>
    </row>
    <row r="1402">
      <c r="Q1402" s="62" t="n"/>
    </row>
    <row r="1403">
      <c r="Q1403" s="62" t="n"/>
    </row>
    <row r="1404">
      <c r="Q1404" s="62" t="n"/>
    </row>
    <row r="1405">
      <c r="Q1405" s="62" t="n"/>
    </row>
    <row r="1406">
      <c r="Q1406" s="62" t="n"/>
    </row>
    <row r="1407">
      <c r="Q1407" s="62" t="n"/>
    </row>
    <row r="1408">
      <c r="Q1408" s="62" t="n"/>
    </row>
    <row r="1409">
      <c r="Q1409" s="62" t="n"/>
    </row>
    <row r="1410">
      <c r="Q1410" s="62" t="n"/>
    </row>
    <row r="1411">
      <c r="Q1411" s="62" t="n"/>
    </row>
    <row r="1412">
      <c r="Q1412" s="62" t="n"/>
    </row>
    <row r="1413">
      <c r="Q1413" s="62" t="n"/>
    </row>
    <row r="1414">
      <c r="Q1414" s="62" t="n"/>
    </row>
    <row r="1415">
      <c r="Q1415" s="62" t="n"/>
    </row>
    <row r="1416">
      <c r="Q1416" s="62" t="n"/>
    </row>
    <row r="1417">
      <c r="Q1417" s="62" t="n"/>
    </row>
    <row r="1418">
      <c r="Q1418" s="62" t="n"/>
    </row>
    <row r="1419">
      <c r="Q1419" s="62" t="n"/>
    </row>
    <row r="1420">
      <c r="Q1420" s="62" t="n"/>
    </row>
    <row r="1421">
      <c r="Q1421" s="62" t="n"/>
    </row>
    <row r="1422">
      <c r="Q1422" s="62" t="n"/>
    </row>
    <row r="1423">
      <c r="Q1423" s="62" t="n"/>
    </row>
    <row r="1424">
      <c r="Q1424" s="62" t="n"/>
    </row>
    <row r="1425">
      <c r="Q1425" s="62" t="n"/>
    </row>
    <row r="1426">
      <c r="Q1426" s="62" t="n"/>
    </row>
    <row r="1427">
      <c r="Q1427" s="62" t="n"/>
    </row>
    <row r="1428">
      <c r="Q1428" s="62" t="n"/>
    </row>
    <row r="1429">
      <c r="Q1429" s="62" t="n"/>
    </row>
    <row r="1430">
      <c r="Q1430" s="62" t="n"/>
    </row>
    <row r="1431">
      <c r="Q1431" s="62" t="n"/>
    </row>
    <row r="1432">
      <c r="Q1432" s="62" t="n"/>
    </row>
    <row r="1433">
      <c r="Q1433" s="62" t="n"/>
    </row>
    <row r="1434">
      <c r="Q1434" s="62" t="n"/>
    </row>
    <row r="1435">
      <c r="Q1435" s="62" t="n"/>
    </row>
    <row r="1436">
      <c r="Q1436" s="62" t="n"/>
    </row>
    <row r="1437">
      <c r="Q1437" s="62" t="n"/>
    </row>
    <row r="1438">
      <c r="Q1438" s="62" t="n"/>
    </row>
    <row r="1439">
      <c r="Q1439" s="62" t="n"/>
    </row>
    <row r="1440">
      <c r="Q1440" s="62" t="n"/>
    </row>
    <row r="1441">
      <c r="Q1441" s="62" t="n"/>
    </row>
    <row r="1442">
      <c r="Q1442" s="62" t="n"/>
    </row>
    <row r="1443">
      <c r="Q1443" s="62" t="n"/>
    </row>
    <row r="1444">
      <c r="Q1444" s="62" t="n"/>
    </row>
    <row r="1445">
      <c r="Q1445" s="62" t="n"/>
    </row>
    <row r="1446">
      <c r="Q1446" s="62" t="n"/>
    </row>
    <row r="1447">
      <c r="Q1447" s="62" t="n"/>
    </row>
    <row r="1448">
      <c r="Q1448" s="62" t="n"/>
    </row>
    <row r="1449">
      <c r="Q1449" s="62" t="n"/>
    </row>
    <row r="1450">
      <c r="Q1450" s="62" t="n"/>
    </row>
    <row r="1451">
      <c r="Q1451" s="62" t="n"/>
    </row>
    <row r="1452">
      <c r="Q1452" s="62" t="n"/>
    </row>
    <row r="1453">
      <c r="Q1453" s="62" t="n"/>
    </row>
    <row r="1454">
      <c r="Q1454" s="62" t="n"/>
    </row>
    <row r="1455">
      <c r="Q1455" s="62" t="n"/>
    </row>
    <row r="1456">
      <c r="Q1456" s="62" t="n"/>
    </row>
    <row r="1457">
      <c r="Q1457" s="62" t="n"/>
    </row>
    <row r="1458">
      <c r="Q1458" s="62" t="n"/>
    </row>
    <row r="1459">
      <c r="Q1459" s="62" t="n"/>
    </row>
    <row r="1460">
      <c r="Q1460" s="62" t="n"/>
    </row>
    <row r="1461">
      <c r="Q1461" s="62" t="n"/>
    </row>
    <row r="1462">
      <c r="Q1462" s="62" t="n"/>
    </row>
    <row r="1463">
      <c r="Q1463" s="62" t="n"/>
    </row>
    <row r="1464">
      <c r="Q1464" s="62" t="n"/>
    </row>
    <row r="1465">
      <c r="Q1465" s="62" t="n"/>
    </row>
    <row r="1466">
      <c r="Q1466" s="62" t="n"/>
    </row>
    <row r="1467">
      <c r="Q1467" s="62" t="n"/>
    </row>
    <row r="1468">
      <c r="Q1468" s="62" t="n"/>
    </row>
    <row r="1469">
      <c r="Q1469" s="62" t="n"/>
    </row>
    <row r="1470">
      <c r="Q1470" s="62" t="n"/>
    </row>
    <row r="1471">
      <c r="Q1471" s="62" t="n"/>
    </row>
    <row r="1472">
      <c r="Q1472" s="62" t="n"/>
    </row>
    <row r="1473">
      <c r="Q1473" s="62" t="n"/>
    </row>
    <row r="1474">
      <c r="Q1474" s="62" t="n"/>
    </row>
    <row r="1475">
      <c r="Q1475" s="62" t="n"/>
    </row>
    <row r="1476">
      <c r="Q1476" s="62" t="n"/>
    </row>
    <row r="1477">
      <c r="Q1477" s="62" t="n"/>
    </row>
    <row r="1478">
      <c r="Q1478" s="62" t="n"/>
    </row>
    <row r="1479">
      <c r="Q1479" s="62" t="n"/>
    </row>
    <row r="1480">
      <c r="Q1480" s="62" t="n"/>
    </row>
    <row r="1481">
      <c r="Q1481" s="62" t="n"/>
    </row>
    <row r="1482">
      <c r="Q1482" s="62" t="n"/>
    </row>
    <row r="1483">
      <c r="Q1483" s="62" t="n"/>
    </row>
    <row r="1484">
      <c r="Q1484" s="62" t="n"/>
    </row>
    <row r="1485">
      <c r="Q1485" s="62" t="n"/>
    </row>
    <row r="1486">
      <c r="Q1486" s="62" t="n"/>
    </row>
    <row r="1487">
      <c r="Q1487" s="62" t="n"/>
    </row>
    <row r="1488">
      <c r="Q1488" s="62" t="n"/>
    </row>
    <row r="1489">
      <c r="Q1489" s="62" t="n"/>
    </row>
    <row r="1490">
      <c r="Q1490" s="62" t="n"/>
    </row>
    <row r="1491">
      <c r="Q1491" s="62" t="n"/>
    </row>
    <row r="1492">
      <c r="Q1492" s="62" t="n"/>
    </row>
    <row r="1493">
      <c r="Q1493" s="62" t="n"/>
    </row>
    <row r="1494">
      <c r="Q1494" s="62" t="n"/>
    </row>
    <row r="1495">
      <c r="Q1495" s="62" t="n"/>
    </row>
    <row r="1496">
      <c r="Q1496" s="62" t="n"/>
    </row>
    <row r="1497">
      <c r="Q1497" s="62" t="n"/>
    </row>
    <row r="1498">
      <c r="Q1498" s="62" t="n"/>
    </row>
    <row r="1499">
      <c r="Q1499" s="62" t="n"/>
    </row>
    <row r="1500">
      <c r="Q1500" s="62" t="n"/>
    </row>
    <row r="1501">
      <c r="Q1501" s="62" t="n"/>
    </row>
    <row r="1502">
      <c r="Q1502" s="62" t="n"/>
    </row>
    <row r="1503">
      <c r="Q1503" s="62" t="n"/>
    </row>
    <row r="1504">
      <c r="Q1504" s="62" t="n"/>
    </row>
    <row r="1505">
      <c r="Q1505" s="62" t="n"/>
    </row>
    <row r="1506">
      <c r="Q1506" s="62" t="n"/>
    </row>
    <row r="1507">
      <c r="Q1507" s="62" t="n"/>
    </row>
    <row r="1508">
      <c r="Q1508" s="62" t="n"/>
    </row>
    <row r="1509">
      <c r="Q1509" s="62" t="n"/>
    </row>
    <row r="1510">
      <c r="Q1510" s="62" t="n"/>
    </row>
    <row r="1511">
      <c r="Q1511" s="62" t="n"/>
    </row>
    <row r="1512">
      <c r="Q1512" s="62" t="n"/>
    </row>
    <row r="1513">
      <c r="Q1513" s="62" t="n"/>
    </row>
    <row r="1514">
      <c r="Q1514" s="62" t="n"/>
    </row>
    <row r="1515">
      <c r="Q1515" s="62" t="n"/>
    </row>
    <row r="1516">
      <c r="Q1516" s="62" t="n"/>
    </row>
    <row r="1517">
      <c r="Q1517" s="62" t="n"/>
    </row>
    <row r="1518">
      <c r="Q1518" s="62" t="n"/>
    </row>
    <row r="1519">
      <c r="Q1519" s="62" t="n"/>
    </row>
    <row r="1520">
      <c r="Q1520" s="62" t="n"/>
    </row>
    <row r="1521">
      <c r="Q1521" s="62" t="n"/>
    </row>
    <row r="1522">
      <c r="Q1522" s="62" t="n"/>
    </row>
    <row r="1523">
      <c r="Q1523" s="62" t="n"/>
    </row>
    <row r="1524">
      <c r="Q1524" s="62" t="n"/>
    </row>
    <row r="1525">
      <c r="Q1525" s="62" t="n"/>
    </row>
    <row r="1526">
      <c r="Q1526" s="62" t="n"/>
    </row>
    <row r="1527">
      <c r="Q1527" s="62" t="n"/>
    </row>
    <row r="1528">
      <c r="Q1528" s="62" t="n"/>
    </row>
    <row r="1529">
      <c r="Q1529" s="62" t="n"/>
    </row>
    <row r="1530">
      <c r="Q1530" s="62" t="n"/>
    </row>
    <row r="1531">
      <c r="Q1531" s="62" t="n"/>
    </row>
    <row r="1532">
      <c r="Q1532" s="62" t="n"/>
    </row>
    <row r="1533">
      <c r="Q1533" s="62" t="n"/>
    </row>
    <row r="1534">
      <c r="Q1534" s="62" t="n"/>
    </row>
    <row r="1535">
      <c r="Q1535" s="62" t="n"/>
    </row>
    <row r="1536">
      <c r="Q1536" s="62" t="n"/>
    </row>
    <row r="1537">
      <c r="Q1537" s="62" t="n"/>
    </row>
    <row r="1538">
      <c r="Q1538" s="62" t="n"/>
    </row>
    <row r="1539">
      <c r="Q1539" s="62" t="n"/>
    </row>
    <row r="1540">
      <c r="Q1540" s="62" t="n"/>
    </row>
    <row r="1541">
      <c r="Q1541" s="62" t="n"/>
    </row>
    <row r="1542">
      <c r="Q1542" s="62" t="n"/>
    </row>
    <row r="1543">
      <c r="Q1543" s="62" t="n"/>
    </row>
    <row r="1544">
      <c r="Q1544" s="62" t="n"/>
    </row>
    <row r="1545">
      <c r="Q1545" s="62" t="n"/>
    </row>
    <row r="1546">
      <c r="Q1546" s="62" t="n"/>
    </row>
    <row r="1547">
      <c r="Q1547" s="62" t="n"/>
    </row>
    <row r="1548">
      <c r="Q1548" s="62" t="n"/>
    </row>
    <row r="1549">
      <c r="Q1549" s="62" t="n"/>
    </row>
    <row r="1550">
      <c r="Q1550" s="62" t="n"/>
    </row>
    <row r="1551">
      <c r="Q1551" s="62" t="n"/>
    </row>
    <row r="1552">
      <c r="Q1552" s="62" t="n"/>
    </row>
    <row r="1553">
      <c r="Q1553" s="62" t="n"/>
    </row>
    <row r="1554">
      <c r="Q1554" s="62" t="n"/>
    </row>
    <row r="1555">
      <c r="Q1555" s="62" t="n"/>
    </row>
    <row r="1556">
      <c r="Q1556" s="62" t="n"/>
    </row>
    <row r="1557">
      <c r="Q1557" s="62" t="n"/>
    </row>
    <row r="1558">
      <c r="Q1558" s="62" t="n"/>
    </row>
    <row r="1559">
      <c r="Q1559" s="62" t="n"/>
    </row>
    <row r="1560">
      <c r="Q1560" s="62" t="n"/>
    </row>
    <row r="1561">
      <c r="Q1561" s="62" t="n"/>
    </row>
    <row r="1562">
      <c r="Q1562" s="62" t="n"/>
    </row>
    <row r="1563">
      <c r="Q1563" s="62" t="n"/>
    </row>
    <row r="1564">
      <c r="Q1564" s="62" t="n"/>
    </row>
    <row r="1565">
      <c r="Q1565" s="62" t="n"/>
    </row>
    <row r="1566">
      <c r="Q1566" s="62" t="n"/>
    </row>
    <row r="1567">
      <c r="Q1567" s="62" t="n"/>
    </row>
    <row r="1568">
      <c r="Q1568" s="62" t="n"/>
    </row>
    <row r="1569">
      <c r="Q1569" s="62" t="n"/>
    </row>
    <row r="1570">
      <c r="Q1570" s="62" t="n"/>
    </row>
    <row r="1571">
      <c r="Q1571" s="62" t="n"/>
    </row>
    <row r="1572">
      <c r="Q1572" s="62" t="n"/>
    </row>
    <row r="1573">
      <c r="Q1573" s="62" t="n"/>
    </row>
    <row r="1574">
      <c r="Q1574" s="62" t="n"/>
    </row>
    <row r="1575">
      <c r="Q1575" s="62" t="n"/>
    </row>
    <row r="1576">
      <c r="Q1576" s="62" t="n"/>
    </row>
    <row r="1577">
      <c r="Q1577" s="62" t="n"/>
    </row>
    <row r="1578">
      <c r="Q1578" s="62" t="n"/>
    </row>
    <row r="1579">
      <c r="Q1579" s="62" t="n"/>
    </row>
    <row r="1580">
      <c r="Q1580" s="62" t="n"/>
    </row>
    <row r="1581">
      <c r="Q1581" s="62" t="n"/>
    </row>
    <row r="1582">
      <c r="Q1582" s="62" t="n"/>
    </row>
    <row r="1583">
      <c r="Q1583" s="62" t="n"/>
    </row>
    <row r="1584">
      <c r="Q1584" s="62" t="n"/>
    </row>
    <row r="1585">
      <c r="Q1585" s="62" t="n"/>
    </row>
    <row r="1586">
      <c r="Q1586" s="62" t="n"/>
    </row>
    <row r="1587">
      <c r="Q1587" s="62" t="n"/>
    </row>
    <row r="1588">
      <c r="Q1588" s="62" t="n"/>
    </row>
    <row r="1589">
      <c r="Q1589" s="62" t="n"/>
    </row>
    <row r="1590">
      <c r="Q1590" s="62" t="n"/>
    </row>
    <row r="1591">
      <c r="Q1591" s="62" t="n"/>
    </row>
    <row r="1592">
      <c r="Q1592" s="62" t="n"/>
    </row>
    <row r="1593">
      <c r="Q1593" s="62" t="n"/>
    </row>
    <row r="1594">
      <c r="Q1594" s="62" t="n"/>
    </row>
    <row r="1595">
      <c r="Q1595" s="62" t="n"/>
    </row>
    <row r="1596">
      <c r="Q1596" s="62" t="n"/>
    </row>
    <row r="1597">
      <c r="Q1597" s="62" t="n"/>
    </row>
    <row r="1598">
      <c r="Q1598" s="62" t="n"/>
    </row>
    <row r="1599">
      <c r="Q1599" s="62" t="n"/>
    </row>
    <row r="1600">
      <c r="Q1600" s="62" t="n"/>
    </row>
    <row r="1601">
      <c r="Q1601" s="62" t="n"/>
    </row>
    <row r="1602">
      <c r="Q1602" s="62" t="n"/>
    </row>
    <row r="1603">
      <c r="Q1603" s="62" t="n"/>
    </row>
    <row r="1604">
      <c r="Q1604" s="62" t="n"/>
    </row>
    <row r="1605">
      <c r="Q1605" s="62" t="n"/>
    </row>
    <row r="1606">
      <c r="Q1606" s="62" t="n"/>
    </row>
    <row r="1607">
      <c r="Q1607" s="62" t="n"/>
    </row>
    <row r="1608">
      <c r="Q1608" s="62" t="n"/>
    </row>
    <row r="1609">
      <c r="Q1609" s="62" t="n"/>
    </row>
    <row r="1610">
      <c r="Q1610" s="62" t="n"/>
    </row>
    <row r="1611">
      <c r="Q1611" s="62" t="n"/>
    </row>
    <row r="1612">
      <c r="Q1612" s="62" t="n"/>
    </row>
    <row r="1613">
      <c r="Q1613" s="62" t="n"/>
    </row>
    <row r="1614">
      <c r="Q1614" s="62" t="n"/>
    </row>
    <row r="1615">
      <c r="Q1615" s="62" t="n"/>
    </row>
    <row r="1616">
      <c r="Q1616" s="62" t="n"/>
    </row>
    <row r="1617">
      <c r="Q1617" s="62" t="n"/>
    </row>
    <row r="1618">
      <c r="Q1618" s="62" t="n"/>
    </row>
    <row r="1619">
      <c r="Q1619" s="62" t="n"/>
    </row>
    <row r="1620">
      <c r="Q1620" s="62" t="n"/>
    </row>
    <row r="1621">
      <c r="Q1621" s="62" t="n"/>
    </row>
    <row r="1622">
      <c r="Q1622" s="62" t="n"/>
    </row>
    <row r="1623">
      <c r="Q1623" s="62" t="n"/>
    </row>
    <row r="1624">
      <c r="Q1624" s="62" t="n"/>
    </row>
    <row r="1625">
      <c r="Q1625" s="62" t="n"/>
    </row>
    <row r="1626">
      <c r="Q1626" s="62" t="n"/>
    </row>
    <row r="1627">
      <c r="Q1627" s="62" t="n"/>
    </row>
    <row r="1628">
      <c r="Q1628" s="62" t="n"/>
    </row>
    <row r="1629">
      <c r="Q1629" s="62" t="n"/>
    </row>
    <row r="1630">
      <c r="Q1630" s="62" t="n"/>
    </row>
    <row r="1631">
      <c r="Q1631" s="62" t="n"/>
    </row>
    <row r="1632">
      <c r="Q1632" s="62" t="n"/>
    </row>
    <row r="1633">
      <c r="Q1633" s="62" t="n"/>
    </row>
    <row r="1634">
      <c r="Q1634" s="62" t="n"/>
    </row>
    <row r="1635">
      <c r="Q1635" s="62" t="n"/>
    </row>
    <row r="1636">
      <c r="Q1636" s="62" t="n"/>
    </row>
    <row r="1637">
      <c r="Q1637" s="62" t="n"/>
    </row>
    <row r="1638">
      <c r="Q1638" s="62" t="n"/>
    </row>
    <row r="1639">
      <c r="Q1639" s="62" t="n"/>
    </row>
    <row r="1640">
      <c r="Q1640" s="62" t="n"/>
    </row>
    <row r="1641">
      <c r="Q1641" s="62" t="n"/>
    </row>
    <row r="1642">
      <c r="Q1642" s="62" t="n"/>
    </row>
    <row r="1643">
      <c r="Q1643" s="62" t="n"/>
    </row>
    <row r="1644">
      <c r="Q1644" s="62" t="n"/>
    </row>
    <row r="1645">
      <c r="Q1645" s="62" t="n"/>
    </row>
    <row r="1646">
      <c r="Q1646" s="62" t="n"/>
    </row>
    <row r="1647">
      <c r="Q1647" s="62" t="n"/>
    </row>
    <row r="1648">
      <c r="Q1648" s="62" t="n"/>
    </row>
    <row r="1649">
      <c r="Q1649" s="62" t="n"/>
    </row>
    <row r="1650">
      <c r="Q1650" s="62" t="n"/>
    </row>
    <row r="1651">
      <c r="Q1651" s="62" t="n"/>
    </row>
    <row r="1652">
      <c r="Q1652" s="62" t="n"/>
    </row>
    <row r="1653">
      <c r="Q1653" s="62" t="n"/>
    </row>
    <row r="1654">
      <c r="Q1654" s="62" t="n"/>
    </row>
    <row r="1655">
      <c r="Q1655" s="62" t="n"/>
    </row>
    <row r="1656">
      <c r="Q1656" s="62" t="n"/>
    </row>
    <row r="1657">
      <c r="Q1657" s="62" t="n"/>
    </row>
    <row r="1658">
      <c r="Q1658" s="62" t="n"/>
    </row>
    <row r="1659">
      <c r="Q1659" s="62" t="n"/>
    </row>
    <row r="1660">
      <c r="Q1660" s="62" t="n"/>
    </row>
    <row r="1661">
      <c r="Q1661" s="62" t="n"/>
    </row>
    <row r="1662">
      <c r="Q1662" s="62" t="n"/>
    </row>
    <row r="1663">
      <c r="Q1663" s="62" t="n"/>
    </row>
    <row r="1664">
      <c r="Q1664" s="62" t="n"/>
    </row>
    <row r="1665">
      <c r="Q1665" s="62" t="n"/>
    </row>
    <row r="1666">
      <c r="Q1666" s="62" t="n"/>
    </row>
    <row r="1667">
      <c r="Q1667" s="62" t="n"/>
    </row>
    <row r="1668">
      <c r="Q1668" s="62" t="n"/>
    </row>
    <row r="1669">
      <c r="Q1669" s="62" t="n"/>
    </row>
    <row r="1670">
      <c r="Q1670" s="62" t="n"/>
    </row>
    <row r="1671">
      <c r="Q1671" s="62" t="n"/>
    </row>
    <row r="1672">
      <c r="Q1672" s="62" t="n"/>
    </row>
    <row r="1673">
      <c r="Q1673" s="62" t="n"/>
    </row>
    <row r="1674">
      <c r="Q1674" s="62" t="n"/>
    </row>
    <row r="1675">
      <c r="Q1675" s="62" t="n"/>
    </row>
    <row r="1676">
      <c r="Q1676" s="62" t="n"/>
    </row>
    <row r="1677">
      <c r="Q1677" s="62" t="n"/>
    </row>
    <row r="1678">
      <c r="Q1678" s="62" t="n"/>
    </row>
    <row r="1679">
      <c r="Q1679" s="62" t="n"/>
    </row>
    <row r="1680">
      <c r="Q1680" s="62" t="n"/>
    </row>
    <row r="1681">
      <c r="Q1681" s="62" t="n"/>
    </row>
    <row r="1682">
      <c r="Q1682" s="62" t="n"/>
    </row>
    <row r="1683">
      <c r="Q1683" s="62" t="n"/>
    </row>
    <row r="1684">
      <c r="Q1684" s="62" t="n"/>
    </row>
    <row r="1685">
      <c r="Q1685" s="62" t="n"/>
    </row>
    <row r="1686">
      <c r="Q1686" s="62" t="n"/>
    </row>
    <row r="1687">
      <c r="Q1687" s="62" t="n"/>
    </row>
    <row r="1688">
      <c r="Q1688" s="62" t="n"/>
    </row>
    <row r="1689">
      <c r="Q1689" s="62" t="n"/>
    </row>
    <row r="1690">
      <c r="Q1690" s="62" t="n"/>
    </row>
    <row r="1691">
      <c r="Q1691" s="62" t="n"/>
    </row>
    <row r="1692">
      <c r="Q1692" s="62" t="n"/>
    </row>
    <row r="1693">
      <c r="Q1693" s="62" t="n"/>
    </row>
    <row r="1694">
      <c r="Q1694" s="62" t="n"/>
    </row>
    <row r="1695">
      <c r="Q1695" s="62" t="n"/>
    </row>
    <row r="1696">
      <c r="Q1696" s="62" t="n"/>
    </row>
    <row r="1697">
      <c r="Q1697" s="62" t="n"/>
    </row>
    <row r="1698">
      <c r="Q1698" s="62" t="n"/>
    </row>
    <row r="1699">
      <c r="Q1699" s="62" t="n"/>
    </row>
    <row r="1700">
      <c r="Q1700" s="62" t="n"/>
    </row>
    <row r="1701">
      <c r="Q1701" s="62" t="n"/>
    </row>
    <row r="1702">
      <c r="Q1702" s="62" t="n"/>
    </row>
    <row r="1703">
      <c r="Q1703" s="62" t="n"/>
    </row>
    <row r="1704">
      <c r="Q1704" s="62" t="n"/>
    </row>
    <row r="1705">
      <c r="Q1705" s="62" t="n"/>
    </row>
    <row r="1706">
      <c r="Q1706" s="62" t="n"/>
    </row>
    <row r="1707">
      <c r="Q1707" s="62" t="n"/>
    </row>
    <row r="1708">
      <c r="Q1708" s="62" t="n"/>
    </row>
    <row r="1709">
      <c r="Q1709" s="62" t="n"/>
    </row>
    <row r="1710">
      <c r="Q1710" s="62" t="n"/>
    </row>
    <row r="1711">
      <c r="Q1711" s="62" t="n"/>
    </row>
    <row r="1712">
      <c r="Q1712" s="62" t="n"/>
    </row>
    <row r="1713">
      <c r="Q1713" s="62" t="n"/>
    </row>
    <row r="1714">
      <c r="Q1714" s="62" t="n"/>
    </row>
    <row r="1715">
      <c r="Q1715" s="62" t="n"/>
    </row>
    <row r="1716">
      <c r="Q1716" s="62" t="n"/>
    </row>
    <row r="1717">
      <c r="Q1717" s="62" t="n"/>
    </row>
    <row r="1718">
      <c r="Q1718" s="62" t="n"/>
    </row>
    <row r="1719">
      <c r="Q1719" s="62" t="n"/>
    </row>
    <row r="1720">
      <c r="Q1720" s="62" t="n"/>
    </row>
    <row r="1721">
      <c r="Q1721" s="62" t="n"/>
    </row>
    <row r="1722">
      <c r="Q1722" s="62" t="n"/>
    </row>
    <row r="1723">
      <c r="Q1723" s="62" t="n"/>
    </row>
    <row r="1724">
      <c r="Q1724" s="62" t="n"/>
    </row>
    <row r="1725">
      <c r="Q1725" s="62" t="n"/>
    </row>
    <row r="1726">
      <c r="Q1726" s="62" t="n"/>
    </row>
    <row r="1727">
      <c r="Q1727" s="62" t="n"/>
    </row>
    <row r="1728">
      <c r="Q1728" s="62" t="n"/>
    </row>
    <row r="1729">
      <c r="Q1729" s="62" t="n"/>
    </row>
    <row r="1730">
      <c r="Q1730" s="62" t="n"/>
    </row>
    <row r="1731">
      <c r="Q1731" s="62" t="n"/>
    </row>
    <row r="1732">
      <c r="Q1732" s="62" t="n"/>
    </row>
    <row r="1733">
      <c r="Q1733" s="62" t="n"/>
    </row>
    <row r="1734">
      <c r="Q1734" s="62" t="n"/>
    </row>
    <row r="1735">
      <c r="Q1735" s="62" t="n"/>
    </row>
    <row r="1736">
      <c r="Q1736" s="62" t="n"/>
    </row>
    <row r="1737">
      <c r="Q1737" s="62" t="n"/>
    </row>
    <row r="1738">
      <c r="Q1738" s="62" t="n"/>
    </row>
    <row r="1739">
      <c r="Q1739" s="62" t="n"/>
    </row>
    <row r="1740">
      <c r="Q1740" s="62" t="n"/>
    </row>
    <row r="1741">
      <c r="Q1741" s="62" t="n"/>
    </row>
    <row r="1742">
      <c r="Q1742" s="62" t="n"/>
    </row>
    <row r="1743">
      <c r="Q1743" s="62" t="n"/>
    </row>
    <row r="1744">
      <c r="Q1744" s="62" t="n"/>
    </row>
    <row r="1745">
      <c r="Q1745" s="62" t="n"/>
    </row>
    <row r="1746">
      <c r="Q1746" s="62" t="n"/>
    </row>
    <row r="1747">
      <c r="Q1747" s="62" t="n"/>
    </row>
    <row r="1748">
      <c r="Q1748" s="62" t="n"/>
    </row>
    <row r="1749">
      <c r="Q1749" s="62" t="n"/>
    </row>
    <row r="1750">
      <c r="Q1750" s="62" t="n"/>
    </row>
    <row r="1751">
      <c r="Q1751" s="62" t="n"/>
    </row>
    <row r="1752">
      <c r="Q1752" s="62" t="n"/>
    </row>
    <row r="1753">
      <c r="Q1753" s="62" t="n"/>
    </row>
    <row r="1754">
      <c r="Q1754" s="62" t="n"/>
    </row>
    <row r="1755">
      <c r="Q1755" s="62" t="n"/>
    </row>
    <row r="1756">
      <c r="Q1756" s="62" t="n"/>
    </row>
    <row r="1757">
      <c r="Q1757" s="62" t="n"/>
    </row>
    <row r="1758">
      <c r="Q1758" s="62" t="n"/>
    </row>
    <row r="1759">
      <c r="Q1759" s="62" t="n"/>
    </row>
    <row r="1760">
      <c r="Q1760" s="62" t="n"/>
    </row>
    <row r="1761">
      <c r="Q1761" s="62" t="n"/>
    </row>
    <row r="1762">
      <c r="Q1762" s="62" t="n"/>
    </row>
    <row r="1763">
      <c r="Q1763" s="62" t="n"/>
    </row>
    <row r="1764">
      <c r="Q1764" s="62" t="n"/>
    </row>
    <row r="1765">
      <c r="Q1765" s="62" t="n"/>
    </row>
    <row r="1766">
      <c r="Q1766" s="62" t="n"/>
    </row>
    <row r="1767">
      <c r="Q1767" s="62" t="n"/>
    </row>
    <row r="1768">
      <c r="Q1768" s="62" t="n"/>
    </row>
    <row r="1769">
      <c r="Q1769" s="62" t="n"/>
    </row>
    <row r="1770">
      <c r="Q1770" s="62" t="n"/>
    </row>
    <row r="1771">
      <c r="Q1771" s="62" t="n"/>
    </row>
    <row r="1772">
      <c r="Q1772" s="62" t="n"/>
    </row>
    <row r="1773">
      <c r="Q1773" s="62" t="n"/>
    </row>
    <row r="1774">
      <c r="Q1774" s="62" t="n"/>
    </row>
    <row r="1775">
      <c r="Q1775" s="62" t="n"/>
    </row>
    <row r="1776">
      <c r="Q1776" s="62" t="n"/>
    </row>
    <row r="1777">
      <c r="Q1777" s="62" t="n"/>
    </row>
    <row r="1778">
      <c r="Q1778" s="62" t="n"/>
    </row>
    <row r="1779">
      <c r="Q1779" s="62" t="n"/>
    </row>
    <row r="1780">
      <c r="Q1780" s="62" t="n"/>
    </row>
    <row r="1781">
      <c r="Q1781" s="62" t="n"/>
    </row>
    <row r="1782">
      <c r="Q1782" s="62" t="n"/>
    </row>
    <row r="1783">
      <c r="Q1783" s="62" t="n"/>
    </row>
    <row r="1784">
      <c r="Q1784" s="62" t="n"/>
    </row>
    <row r="1785">
      <c r="Q1785" s="62" t="n"/>
    </row>
    <row r="1786">
      <c r="Q1786" s="62" t="n"/>
    </row>
    <row r="1787">
      <c r="Q1787" s="62" t="n"/>
    </row>
    <row r="1788">
      <c r="Q1788" s="62" t="n"/>
    </row>
    <row r="1789">
      <c r="Q1789" s="62" t="n"/>
    </row>
    <row r="1790">
      <c r="Q1790" s="62" t="n"/>
    </row>
    <row r="1791">
      <c r="Q1791" s="62" t="n"/>
    </row>
    <row r="1792">
      <c r="Q1792" s="62" t="n"/>
    </row>
    <row r="1793">
      <c r="Q1793" s="62" t="n"/>
    </row>
    <row r="1794">
      <c r="Q1794" s="62" t="n"/>
    </row>
    <row r="1795">
      <c r="Q1795" s="62" t="n"/>
    </row>
    <row r="1796">
      <c r="Q1796" s="62" t="n"/>
    </row>
    <row r="1797">
      <c r="Q1797" s="62" t="n"/>
    </row>
    <row r="1798">
      <c r="Q1798" s="62" t="n"/>
    </row>
    <row r="1799">
      <c r="Q1799" s="62" t="n"/>
    </row>
    <row r="1800">
      <c r="Q1800" s="62" t="n"/>
    </row>
    <row r="1801">
      <c r="Q1801" s="62" t="n"/>
    </row>
    <row r="1802">
      <c r="Q1802" s="62" t="n"/>
    </row>
    <row r="1803">
      <c r="Q1803" s="62" t="n"/>
    </row>
    <row r="1804">
      <c r="Q1804" s="62" t="n"/>
    </row>
    <row r="1805">
      <c r="Q1805" s="62" t="n"/>
    </row>
    <row r="1806">
      <c r="Q1806" s="62" t="n"/>
    </row>
    <row r="1807">
      <c r="Q1807" s="62" t="n"/>
    </row>
    <row r="1808">
      <c r="Q1808" s="62" t="n"/>
    </row>
    <row r="1809">
      <c r="Q1809" s="62" t="n"/>
    </row>
    <row r="1810">
      <c r="Q1810" s="62" t="n"/>
    </row>
    <row r="1811">
      <c r="Q1811" s="62" t="n"/>
    </row>
    <row r="1812">
      <c r="Q1812" s="62" t="n"/>
    </row>
    <row r="1813">
      <c r="Q1813" s="62" t="n"/>
    </row>
    <row r="1814">
      <c r="Q1814" s="62" t="n"/>
    </row>
    <row r="1815">
      <c r="Q1815" s="62" t="n"/>
    </row>
    <row r="1816">
      <c r="Q1816" s="62" t="n"/>
    </row>
    <row r="1817">
      <c r="Q1817" s="62" t="n"/>
    </row>
    <row r="1818">
      <c r="Q1818" s="62" t="n"/>
    </row>
    <row r="1819">
      <c r="Q1819" s="62" t="n"/>
    </row>
    <row r="1820">
      <c r="Q1820" s="62" t="n"/>
    </row>
    <row r="1821">
      <c r="Q1821" s="62" t="n"/>
    </row>
    <row r="1822">
      <c r="Q1822" s="62" t="n"/>
    </row>
    <row r="1823">
      <c r="Q1823" s="62" t="n"/>
    </row>
    <row r="1824">
      <c r="Q1824" s="62" t="n"/>
    </row>
    <row r="1825">
      <c r="Q1825" s="62" t="n"/>
    </row>
    <row r="1826">
      <c r="Q1826" s="62" t="n"/>
    </row>
    <row r="1827">
      <c r="Q1827" s="62" t="n"/>
    </row>
    <row r="1828">
      <c r="Q1828" s="62" t="n"/>
    </row>
    <row r="1829">
      <c r="Q1829" s="62" t="n"/>
    </row>
    <row r="1830">
      <c r="Q1830" s="62" t="n"/>
    </row>
    <row r="1831">
      <c r="Q1831" s="62" t="n"/>
    </row>
    <row r="1832">
      <c r="Q1832" s="62" t="n"/>
    </row>
    <row r="1833">
      <c r="Q1833" s="62" t="n"/>
    </row>
    <row r="1834">
      <c r="Q1834" s="62" t="n"/>
    </row>
    <row r="1835">
      <c r="Q1835" s="62" t="n"/>
    </row>
    <row r="1836">
      <c r="Q1836" s="62" t="n"/>
    </row>
    <row r="1837">
      <c r="Q1837" s="62" t="n"/>
    </row>
    <row r="1838">
      <c r="Q1838" s="62" t="n"/>
    </row>
    <row r="1839">
      <c r="Q1839" s="62" t="n"/>
    </row>
    <row r="1840">
      <c r="Q1840" s="62" t="n"/>
    </row>
    <row r="1841">
      <c r="Q1841" s="62" t="n"/>
    </row>
    <row r="1842">
      <c r="Q1842" s="62" t="n"/>
    </row>
    <row r="1843">
      <c r="Q1843" s="62" t="n"/>
    </row>
    <row r="1844">
      <c r="Q1844" s="62" t="n"/>
    </row>
    <row r="1845">
      <c r="Q1845" s="62" t="n"/>
    </row>
    <row r="1846">
      <c r="Q1846" s="62" t="n"/>
    </row>
    <row r="1847">
      <c r="Q1847" s="62" t="n"/>
    </row>
    <row r="1848">
      <c r="Q1848" s="62" t="n"/>
    </row>
    <row r="1849">
      <c r="Q1849" s="62" t="n"/>
    </row>
    <row r="1850">
      <c r="Q1850" s="62" t="n"/>
    </row>
    <row r="1851">
      <c r="Q1851" s="62" t="n"/>
    </row>
    <row r="1852">
      <c r="Q1852" s="62" t="n"/>
    </row>
    <row r="1853">
      <c r="Q1853" s="62" t="n"/>
    </row>
    <row r="1854">
      <c r="Q1854" s="62" t="n"/>
    </row>
    <row r="1855">
      <c r="Q1855" s="62" t="n"/>
    </row>
    <row r="1856">
      <c r="Q1856" s="62" t="n"/>
    </row>
    <row r="1857">
      <c r="Q1857" s="62" t="n"/>
    </row>
    <row r="1858">
      <c r="Q1858" s="62" t="n"/>
    </row>
    <row r="1859">
      <c r="Q1859" s="62" t="n"/>
    </row>
    <row r="1860">
      <c r="Q1860" s="62" t="n"/>
    </row>
    <row r="1861">
      <c r="Q1861" s="62" t="n"/>
    </row>
    <row r="1862">
      <c r="Q1862" s="62" t="n"/>
    </row>
    <row r="1863">
      <c r="Q1863" s="62" t="n"/>
    </row>
    <row r="1864">
      <c r="Q1864" s="62" t="n"/>
    </row>
    <row r="1865">
      <c r="Q1865" s="62" t="n"/>
    </row>
    <row r="1866">
      <c r="Q1866" s="62" t="n"/>
    </row>
    <row r="1867">
      <c r="Q1867" s="62" t="n"/>
    </row>
    <row r="1868">
      <c r="Q1868" s="62" t="n"/>
    </row>
    <row r="1869">
      <c r="Q1869" s="62" t="n"/>
    </row>
    <row r="1870">
      <c r="Q1870" s="62" t="n"/>
    </row>
    <row r="1871">
      <c r="Q1871" s="62" t="n"/>
    </row>
    <row r="1872">
      <c r="Q1872" s="62" t="n"/>
    </row>
    <row r="1873">
      <c r="Q1873" s="62" t="n"/>
    </row>
    <row r="1874">
      <c r="Q1874" s="62" t="n"/>
    </row>
    <row r="1875">
      <c r="Q1875" s="62" t="n"/>
    </row>
    <row r="1876">
      <c r="Q1876" s="62" t="n"/>
    </row>
    <row r="1877">
      <c r="Q1877" s="62" t="n"/>
    </row>
    <row r="1878">
      <c r="Q1878" s="62" t="n"/>
    </row>
    <row r="1879">
      <c r="Q1879" s="62" t="n"/>
    </row>
    <row r="1880">
      <c r="Q1880" s="62" t="n"/>
    </row>
    <row r="1881">
      <c r="Q1881" s="62" t="n"/>
    </row>
    <row r="1882">
      <c r="Q1882" s="62" t="n"/>
    </row>
    <row r="1883">
      <c r="Q1883" s="62" t="n"/>
    </row>
    <row r="1884">
      <c r="Q1884" s="62" t="n"/>
    </row>
    <row r="1885">
      <c r="Q1885" s="62" t="n"/>
    </row>
    <row r="1886">
      <c r="Q1886" s="62" t="n"/>
    </row>
    <row r="1887">
      <c r="Q1887" s="62" t="n"/>
    </row>
    <row r="1888">
      <c r="Q1888" s="62" t="n"/>
    </row>
    <row r="1889">
      <c r="Q1889" s="62" t="n"/>
    </row>
    <row r="1890">
      <c r="Q1890" s="62" t="n"/>
    </row>
    <row r="1891">
      <c r="Q1891" s="62" t="n"/>
    </row>
    <row r="1892">
      <c r="Q1892" s="62" t="n"/>
    </row>
    <row r="1893">
      <c r="Q1893" s="62" t="n"/>
    </row>
    <row r="1894">
      <c r="Q1894" s="62" t="n"/>
    </row>
    <row r="1895">
      <c r="Q1895" s="62" t="n"/>
    </row>
    <row r="1896">
      <c r="Q1896" s="62" t="n"/>
    </row>
    <row r="1897">
      <c r="Q1897" s="62" t="n"/>
    </row>
    <row r="1898">
      <c r="Q1898" s="62" t="n"/>
    </row>
    <row r="1899">
      <c r="Q1899" s="62" t="n"/>
    </row>
    <row r="1900">
      <c r="Q1900" s="62" t="n"/>
    </row>
    <row r="1901">
      <c r="Q1901" s="62" t="n"/>
    </row>
    <row r="1902">
      <c r="Q1902" s="62" t="n"/>
    </row>
    <row r="1903">
      <c r="Q1903" s="62" t="n"/>
    </row>
    <row r="1904">
      <c r="Q1904" s="62" t="n"/>
    </row>
    <row r="1905">
      <c r="Q1905" s="62" t="n"/>
    </row>
    <row r="1906">
      <c r="Q1906" s="62" t="n"/>
    </row>
    <row r="1907">
      <c r="Q1907" s="62" t="n"/>
    </row>
    <row r="1908">
      <c r="Q1908" s="62" t="n"/>
    </row>
    <row r="1909">
      <c r="Q1909" s="62" t="n"/>
    </row>
    <row r="1910">
      <c r="Q1910" s="62" t="n"/>
    </row>
    <row r="1911">
      <c r="Q1911" s="62" t="n"/>
    </row>
    <row r="1912">
      <c r="Q1912" s="62" t="n"/>
    </row>
    <row r="1913">
      <c r="Q1913" s="62" t="n"/>
    </row>
    <row r="1914">
      <c r="Q1914" s="62" t="n"/>
    </row>
    <row r="1915">
      <c r="Q1915" s="62" t="n"/>
    </row>
    <row r="1916">
      <c r="Q1916" s="62" t="n"/>
    </row>
    <row r="1917">
      <c r="Q1917" s="62" t="n"/>
    </row>
    <row r="1918">
      <c r="Q1918" s="62" t="n"/>
    </row>
    <row r="1919">
      <c r="Q1919" s="62" t="n"/>
    </row>
    <row r="1920">
      <c r="Q1920" s="62" t="n"/>
    </row>
    <row r="1921">
      <c r="Q1921" s="62" t="n"/>
    </row>
    <row r="1922">
      <c r="Q1922" s="62" t="n"/>
    </row>
    <row r="1923">
      <c r="Q1923" s="62" t="n"/>
    </row>
    <row r="1924">
      <c r="Q1924" s="62" t="n"/>
    </row>
    <row r="1925">
      <c r="Q1925" s="62" t="n"/>
    </row>
    <row r="1926">
      <c r="Q1926" s="62" t="n"/>
    </row>
    <row r="1927">
      <c r="Q1927" s="62" t="n"/>
    </row>
    <row r="1928">
      <c r="Q1928" s="62" t="n"/>
    </row>
    <row r="1929">
      <c r="Q1929" s="62" t="n"/>
    </row>
    <row r="1930">
      <c r="Q1930" s="62" t="n"/>
    </row>
    <row r="1931">
      <c r="Q1931" s="62" t="n"/>
    </row>
    <row r="1932">
      <c r="Q1932" s="62" t="n"/>
    </row>
    <row r="1933">
      <c r="Q1933" s="62" t="n"/>
    </row>
    <row r="1934">
      <c r="Q1934" s="62" t="n"/>
    </row>
    <row r="1935">
      <c r="Q1935" s="62" t="n"/>
    </row>
    <row r="1936">
      <c r="Q1936" s="62" t="n"/>
    </row>
    <row r="1937">
      <c r="Q1937" s="62" t="n"/>
    </row>
    <row r="1938">
      <c r="Q1938" s="62" t="n"/>
    </row>
    <row r="1939">
      <c r="Q1939" s="62" t="n"/>
    </row>
    <row r="1940">
      <c r="Q1940" s="62" t="n"/>
    </row>
    <row r="1941">
      <c r="Q1941" s="62" t="n"/>
    </row>
    <row r="1942">
      <c r="Q1942" s="62" t="n"/>
    </row>
    <row r="1943">
      <c r="Q1943" s="62" t="n"/>
    </row>
    <row r="1944">
      <c r="Q1944" s="62" t="n"/>
    </row>
    <row r="1945">
      <c r="Q1945" s="62" t="n"/>
    </row>
    <row r="1946">
      <c r="Q1946" s="62" t="n"/>
    </row>
    <row r="1947">
      <c r="Q1947" s="62" t="n"/>
    </row>
    <row r="1948">
      <c r="Q1948" s="62" t="n"/>
    </row>
    <row r="1949">
      <c r="Q1949" s="62" t="n"/>
    </row>
    <row r="1950">
      <c r="Q1950" s="62" t="n"/>
    </row>
    <row r="1951">
      <c r="Q1951" s="62" t="n"/>
    </row>
    <row r="1952">
      <c r="Q1952" s="62" t="n"/>
    </row>
    <row r="1953">
      <c r="Q1953" s="62" t="n"/>
    </row>
    <row r="1954">
      <c r="Q1954" s="62" t="n"/>
    </row>
    <row r="1955">
      <c r="Q1955" s="62" t="n"/>
    </row>
    <row r="1956">
      <c r="Q1956" s="62" t="n"/>
    </row>
    <row r="1957">
      <c r="Q1957" s="62" t="n"/>
    </row>
    <row r="1958">
      <c r="Q1958" s="62" t="n"/>
    </row>
    <row r="1959">
      <c r="Q1959" s="62" t="n"/>
    </row>
    <row r="1960">
      <c r="Q1960" s="62" t="n"/>
    </row>
    <row r="1961">
      <c r="Q1961" s="62" t="n"/>
    </row>
    <row r="1962">
      <c r="Q1962" s="62" t="n"/>
    </row>
    <row r="1963">
      <c r="Q1963" s="62" t="n"/>
    </row>
    <row r="1964">
      <c r="Q1964" s="62" t="n"/>
    </row>
    <row r="1965">
      <c r="Q1965" s="62" t="n"/>
    </row>
    <row r="1966">
      <c r="Q1966" s="62" t="n"/>
    </row>
    <row r="1967">
      <c r="Q1967" s="62" t="n"/>
    </row>
    <row r="1968">
      <c r="Q1968" s="62" t="n"/>
    </row>
    <row r="1969">
      <c r="Q1969" s="62" t="n"/>
    </row>
    <row r="1970">
      <c r="Q1970" s="62" t="n"/>
    </row>
    <row r="1971">
      <c r="Q1971" s="62" t="n"/>
    </row>
    <row r="1972">
      <c r="Q1972" s="62" t="n"/>
    </row>
    <row r="1973">
      <c r="Q1973" s="62" t="n"/>
    </row>
    <row r="1974">
      <c r="Q1974" s="62" t="n"/>
    </row>
    <row r="1975">
      <c r="Q1975" s="62" t="n"/>
    </row>
    <row r="1976">
      <c r="Q1976" s="62" t="n"/>
    </row>
    <row r="1977">
      <c r="Q1977" s="62" t="n"/>
    </row>
    <row r="1978">
      <c r="Q1978" s="62" t="n"/>
    </row>
    <row r="1979">
      <c r="Q1979" s="62" t="n"/>
    </row>
    <row r="1980">
      <c r="Q1980" s="62" t="n"/>
    </row>
    <row r="1981">
      <c r="Q1981" s="62" t="n"/>
    </row>
    <row r="1982">
      <c r="Q1982" s="62" t="n"/>
    </row>
    <row r="1983">
      <c r="Q1983" s="62" t="n"/>
    </row>
    <row r="1984">
      <c r="Q1984" s="62" t="n"/>
    </row>
    <row r="1985">
      <c r="Q1985" s="62" t="n"/>
    </row>
    <row r="1986">
      <c r="Q1986" s="62" t="n"/>
    </row>
    <row r="1987">
      <c r="Q1987" s="62" t="n"/>
    </row>
    <row r="1988">
      <c r="Q1988" s="62" t="n"/>
    </row>
    <row r="1989">
      <c r="Q1989" s="62" t="n"/>
    </row>
    <row r="1990">
      <c r="Q1990" s="62" t="n"/>
    </row>
    <row r="1991">
      <c r="Q1991" s="62" t="n"/>
    </row>
    <row r="1992">
      <c r="Q1992" s="62" t="n"/>
    </row>
    <row r="1993">
      <c r="Q1993" s="62" t="n"/>
    </row>
    <row r="1994">
      <c r="Q1994" s="62" t="n"/>
    </row>
    <row r="1995">
      <c r="Q1995" s="62" t="n"/>
    </row>
    <row r="1996">
      <c r="Q1996" s="62" t="n"/>
    </row>
    <row r="1997">
      <c r="Q1997" s="62" t="n"/>
    </row>
    <row r="1998">
      <c r="Q1998" s="62" t="n"/>
    </row>
    <row r="1999">
      <c r="Q1999" s="62" t="n"/>
    </row>
    <row r="2000">
      <c r="Q2000" s="62" t="n"/>
    </row>
    <row r="2001">
      <c r="Q2001" s="62" t="n"/>
    </row>
    <row r="2002">
      <c r="Q2002" s="62" t="n"/>
    </row>
    <row r="2003">
      <c r="Q2003" s="62" t="n"/>
    </row>
    <row r="2004">
      <c r="Q2004" s="62" t="n"/>
    </row>
    <row r="2005">
      <c r="Q2005" s="62" t="n"/>
    </row>
    <row r="2006">
      <c r="Q2006" s="62" t="n"/>
    </row>
    <row r="2007">
      <c r="Q2007" s="62" t="n"/>
    </row>
    <row r="2008">
      <c r="Q2008" s="62" t="n"/>
    </row>
    <row r="2009">
      <c r="Q2009" s="62" t="n"/>
    </row>
    <row r="2010">
      <c r="Q2010" s="62" t="n"/>
    </row>
    <row r="2011">
      <c r="Q2011" s="62" t="n"/>
    </row>
    <row r="2012">
      <c r="Q2012" s="62" t="n"/>
    </row>
    <row r="2013">
      <c r="Q2013" s="62" t="n"/>
    </row>
    <row r="2014">
      <c r="Q2014" s="62" t="n"/>
    </row>
    <row r="2015">
      <c r="Q2015" s="62" t="n"/>
    </row>
    <row r="2016">
      <c r="Q2016" s="62" t="n"/>
    </row>
    <row r="2017">
      <c r="Q2017" s="62" t="n"/>
    </row>
    <row r="2018">
      <c r="Q2018" s="62" t="n"/>
    </row>
    <row r="2019">
      <c r="Q2019" s="62" t="n"/>
    </row>
    <row r="2020">
      <c r="Q2020" s="62" t="n"/>
    </row>
    <row r="2021">
      <c r="Q2021" s="62" t="n"/>
    </row>
    <row r="2022">
      <c r="Q2022" s="62" t="n"/>
    </row>
    <row r="2023">
      <c r="Q2023" s="62" t="n"/>
    </row>
    <row r="2024">
      <c r="Q2024" s="62" t="n"/>
    </row>
    <row r="2025">
      <c r="Q2025" s="62" t="n"/>
    </row>
    <row r="2026">
      <c r="Q2026" s="62" t="n"/>
    </row>
    <row r="2027">
      <c r="Q2027" s="62" t="n"/>
    </row>
    <row r="2028">
      <c r="Q2028" s="62" t="n"/>
    </row>
    <row r="2029">
      <c r="Q2029" s="62" t="n"/>
    </row>
    <row r="2030">
      <c r="Q2030" s="62" t="n"/>
    </row>
    <row r="2031">
      <c r="Q2031" s="62" t="n"/>
    </row>
    <row r="2032">
      <c r="Q2032" s="62" t="n"/>
    </row>
    <row r="2033">
      <c r="Q2033" s="62" t="n"/>
    </row>
    <row r="2034">
      <c r="Q2034" s="62" t="n"/>
    </row>
    <row r="2035">
      <c r="Q2035" s="62" t="n"/>
    </row>
    <row r="2036">
      <c r="Q2036" s="62" t="n"/>
    </row>
    <row r="2037">
      <c r="Q2037" s="62" t="n"/>
    </row>
    <row r="2038">
      <c r="Q2038" s="62" t="n"/>
    </row>
    <row r="2039">
      <c r="Q2039" s="62" t="n"/>
    </row>
    <row r="2040">
      <c r="Q2040" s="62" t="n"/>
    </row>
    <row r="2041">
      <c r="Q2041" s="62" t="n"/>
    </row>
    <row r="2042">
      <c r="Q2042" s="62" t="n"/>
    </row>
    <row r="2043">
      <c r="Q2043" s="62" t="n"/>
    </row>
    <row r="2044">
      <c r="Q2044" s="62" t="n"/>
    </row>
    <row r="2045">
      <c r="Q2045" s="62" t="n"/>
    </row>
    <row r="2046">
      <c r="Q2046" s="62" t="n"/>
    </row>
    <row r="2047">
      <c r="Q2047" s="62" t="n"/>
    </row>
    <row r="2048">
      <c r="Q2048" s="62" t="n"/>
    </row>
    <row r="2049">
      <c r="Q2049" s="62" t="n"/>
    </row>
    <row r="2050">
      <c r="Q2050" s="62" t="n"/>
    </row>
    <row r="2051">
      <c r="Q2051" s="62" t="n"/>
    </row>
    <row r="2052">
      <c r="Q2052" s="62" t="n"/>
    </row>
    <row r="2053">
      <c r="Q2053" s="62" t="n"/>
    </row>
    <row r="2054">
      <c r="Q2054" s="62" t="n"/>
    </row>
    <row r="2055">
      <c r="Q2055" s="62" t="n"/>
    </row>
    <row r="2056">
      <c r="Q2056" s="62" t="n"/>
    </row>
    <row r="2057">
      <c r="Q2057" s="62" t="n"/>
    </row>
    <row r="2058">
      <c r="Q2058" s="62" t="n"/>
    </row>
    <row r="2059">
      <c r="Q2059" s="62" t="n"/>
    </row>
    <row r="2060">
      <c r="Q2060" s="62" t="n"/>
    </row>
    <row r="2061">
      <c r="Q2061" s="62" t="n"/>
    </row>
    <row r="2062">
      <c r="Q2062" s="62" t="n"/>
    </row>
    <row r="2063">
      <c r="Q2063" s="62" t="n"/>
    </row>
    <row r="2064">
      <c r="Q2064" s="62" t="n"/>
    </row>
    <row r="2065">
      <c r="Q2065" s="62" t="n"/>
    </row>
    <row r="2066">
      <c r="Q2066" s="62" t="n"/>
    </row>
    <row r="2067">
      <c r="Q2067" s="62" t="n"/>
    </row>
    <row r="2068">
      <c r="Q2068" s="62" t="n"/>
    </row>
    <row r="2069">
      <c r="Q2069" s="62" t="n"/>
    </row>
    <row r="2070">
      <c r="Q2070" s="62" t="n"/>
    </row>
    <row r="2071">
      <c r="Q2071" s="62" t="n"/>
    </row>
    <row r="2072">
      <c r="Q2072" s="62" t="n"/>
    </row>
    <row r="2073">
      <c r="Q2073" s="62" t="n"/>
    </row>
    <row r="2074">
      <c r="Q2074" s="62" t="n"/>
    </row>
    <row r="2075">
      <c r="Q2075" s="62" t="n"/>
    </row>
    <row r="2076">
      <c r="Q2076" s="62" t="n"/>
    </row>
    <row r="2077">
      <c r="Q2077" s="62" t="n"/>
    </row>
    <row r="2078">
      <c r="Q2078" s="62" t="n"/>
    </row>
    <row r="2079">
      <c r="Q2079" s="62" t="n"/>
    </row>
    <row r="2080">
      <c r="Q2080" s="62" t="n"/>
    </row>
    <row r="2081">
      <c r="Q2081" s="62" t="n"/>
    </row>
    <row r="2082">
      <c r="Q2082" s="62" t="n"/>
    </row>
    <row r="2083">
      <c r="Q2083" s="62" t="n"/>
    </row>
    <row r="2084">
      <c r="Q2084" s="62" t="n"/>
    </row>
    <row r="2085">
      <c r="Q2085" s="62" t="n"/>
    </row>
    <row r="2086">
      <c r="Q2086" s="62" t="n"/>
    </row>
    <row r="2087">
      <c r="Q2087" s="62" t="n"/>
    </row>
    <row r="2088">
      <c r="Q2088" s="62" t="n"/>
    </row>
    <row r="2089">
      <c r="Q2089" s="62" t="n"/>
    </row>
    <row r="2090">
      <c r="Q2090" s="62" t="n"/>
    </row>
    <row r="2091">
      <c r="Q2091" s="62" t="n"/>
    </row>
    <row r="2092">
      <c r="Q2092" s="62" t="n"/>
    </row>
    <row r="2093">
      <c r="Q2093" s="62" t="n"/>
    </row>
    <row r="2094">
      <c r="Q2094" s="62" t="n"/>
    </row>
    <row r="2095">
      <c r="Q2095" s="62" t="n"/>
    </row>
    <row r="2096">
      <c r="Q2096" s="62" t="n"/>
    </row>
    <row r="2097">
      <c r="Q2097" s="62" t="n"/>
    </row>
    <row r="2098">
      <c r="Q2098" s="62" t="n"/>
    </row>
    <row r="2099">
      <c r="Q2099" s="62" t="n"/>
    </row>
    <row r="2100">
      <c r="Q2100" s="62" t="n"/>
    </row>
    <row r="2101">
      <c r="Q2101" s="62" t="n"/>
    </row>
    <row r="2102">
      <c r="Q2102" s="62" t="n"/>
    </row>
    <row r="2103">
      <c r="Q2103" s="62" t="n"/>
    </row>
    <row r="2104">
      <c r="Q2104" s="62" t="n"/>
    </row>
    <row r="2105">
      <c r="Q2105" s="62" t="n"/>
    </row>
    <row r="2106">
      <c r="Q2106" s="62" t="n"/>
    </row>
    <row r="2107">
      <c r="Q2107" s="62" t="n"/>
    </row>
    <row r="2108">
      <c r="Q2108" s="62" t="n"/>
    </row>
    <row r="2109">
      <c r="Q2109" s="62" t="n"/>
    </row>
    <row r="2110">
      <c r="Q2110" s="62" t="n"/>
    </row>
    <row r="2111">
      <c r="Q2111" s="62" t="n"/>
    </row>
    <row r="2112">
      <c r="Q2112" s="62" t="n"/>
    </row>
    <row r="2113">
      <c r="Q2113" s="62" t="n"/>
    </row>
    <row r="2114">
      <c r="Q2114" s="62" t="n"/>
    </row>
    <row r="2115">
      <c r="Q2115" s="62" t="n"/>
    </row>
    <row r="2116">
      <c r="Q2116" s="62" t="n"/>
    </row>
    <row r="2117">
      <c r="Q2117" s="62" t="n"/>
    </row>
    <row r="2118">
      <c r="Q2118" s="62" t="n"/>
    </row>
    <row r="2119">
      <c r="Q2119" s="62" t="n"/>
    </row>
    <row r="2120">
      <c r="Q2120" s="62" t="n"/>
    </row>
    <row r="2121">
      <c r="Q2121" s="62" t="n"/>
    </row>
    <row r="2122">
      <c r="Q2122" s="62" t="n"/>
    </row>
    <row r="2123">
      <c r="Q2123" s="62" t="n"/>
    </row>
    <row r="2124">
      <c r="Q2124" s="62" t="n"/>
    </row>
    <row r="2125">
      <c r="Q2125" s="62" t="n"/>
    </row>
    <row r="2126">
      <c r="Q2126" s="62" t="n"/>
    </row>
    <row r="2127">
      <c r="Q2127" s="62" t="n"/>
    </row>
    <row r="2128">
      <c r="Q2128" s="62" t="n"/>
    </row>
    <row r="2129">
      <c r="Q2129" s="62" t="n"/>
    </row>
    <row r="2130">
      <c r="Q2130" s="62" t="n"/>
    </row>
    <row r="2131">
      <c r="Q2131" s="62" t="n"/>
    </row>
    <row r="2132">
      <c r="Q2132" s="62" t="n"/>
    </row>
    <row r="2133">
      <c r="Q2133" s="62" t="n"/>
    </row>
    <row r="2134">
      <c r="Q2134" s="62" t="n"/>
    </row>
    <row r="2135">
      <c r="Q2135" s="62" t="n"/>
    </row>
    <row r="2136">
      <c r="Q2136" s="62" t="n"/>
    </row>
    <row r="2137">
      <c r="Q2137" s="62" t="n"/>
    </row>
    <row r="2138">
      <c r="Q2138" s="62" t="n"/>
    </row>
    <row r="2139">
      <c r="Q2139" s="62" t="n"/>
    </row>
    <row r="2140">
      <c r="Q2140" s="62" t="n"/>
    </row>
    <row r="2141">
      <c r="Q2141" s="62" t="n"/>
    </row>
    <row r="2142">
      <c r="Q2142" s="62" t="n"/>
    </row>
    <row r="2143">
      <c r="Q2143" s="62" t="n"/>
    </row>
    <row r="2144">
      <c r="Q2144" s="62" t="n"/>
    </row>
    <row r="2145">
      <c r="Q2145" s="62" t="n"/>
    </row>
    <row r="2146">
      <c r="Q2146" s="62" t="n"/>
    </row>
    <row r="2147">
      <c r="Q2147" s="62" t="n"/>
    </row>
    <row r="2148">
      <c r="Q2148" s="62" t="n"/>
    </row>
    <row r="2149">
      <c r="Q2149" s="62" t="n"/>
    </row>
    <row r="2150">
      <c r="Q2150" s="62" t="n"/>
    </row>
    <row r="2151">
      <c r="Q2151" s="62" t="n"/>
    </row>
    <row r="2152">
      <c r="Q2152" s="62" t="n"/>
    </row>
    <row r="2153">
      <c r="Q2153" s="62" t="n"/>
    </row>
    <row r="2154">
      <c r="Q2154" s="62" t="n"/>
    </row>
    <row r="2155">
      <c r="Q2155" s="62" t="n"/>
    </row>
    <row r="2156">
      <c r="Q2156" s="62" t="n"/>
    </row>
    <row r="2157">
      <c r="Q2157" s="62" t="n"/>
    </row>
    <row r="2158">
      <c r="Q2158" s="62" t="n"/>
    </row>
    <row r="2159">
      <c r="Q2159" s="62" t="n"/>
    </row>
    <row r="2160">
      <c r="Q2160" s="62" t="n"/>
    </row>
    <row r="2161">
      <c r="Q2161" s="62" t="n"/>
    </row>
    <row r="2162">
      <c r="Q2162" s="62" t="n"/>
    </row>
    <row r="2163">
      <c r="Q2163" s="62" t="n"/>
    </row>
    <row r="2164">
      <c r="Q2164" s="62" t="n"/>
    </row>
    <row r="2165">
      <c r="Q2165" s="62" t="n"/>
    </row>
    <row r="2166">
      <c r="Q2166" s="62" t="n"/>
    </row>
    <row r="2167">
      <c r="Q2167" s="62" t="n"/>
    </row>
    <row r="2168">
      <c r="Q2168" s="62" t="n"/>
    </row>
    <row r="2169">
      <c r="Q2169" s="62" t="n"/>
    </row>
    <row r="2170">
      <c r="Q2170" s="62" t="n"/>
    </row>
    <row r="2171">
      <c r="Q2171" s="62" t="n"/>
    </row>
    <row r="2172">
      <c r="Q2172" s="62" t="n"/>
    </row>
    <row r="2173">
      <c r="Q2173" s="62" t="n"/>
    </row>
    <row r="2174">
      <c r="Q2174" s="62" t="n"/>
    </row>
    <row r="2175">
      <c r="Q2175" s="62" t="n"/>
    </row>
    <row r="2176">
      <c r="Q2176" s="62" t="n"/>
    </row>
    <row r="2177">
      <c r="Q2177" s="62" t="n"/>
    </row>
    <row r="2178">
      <c r="Q2178" s="62" t="n"/>
    </row>
    <row r="2179">
      <c r="Q2179" s="62" t="n"/>
    </row>
    <row r="2180">
      <c r="Q2180" s="62" t="n"/>
    </row>
    <row r="2181">
      <c r="Q2181" s="62" t="n"/>
    </row>
    <row r="2182">
      <c r="Q2182" s="62" t="n"/>
    </row>
    <row r="2183">
      <c r="Q2183" s="62" t="n"/>
    </row>
    <row r="2184">
      <c r="Q2184" s="62" t="n"/>
    </row>
    <row r="2185">
      <c r="Q2185" s="62" t="n"/>
    </row>
    <row r="2186">
      <c r="Q2186" s="62" t="n"/>
    </row>
    <row r="2187">
      <c r="Q2187" s="62" t="n"/>
    </row>
    <row r="2188">
      <c r="Q2188" s="62" t="n"/>
    </row>
    <row r="2189">
      <c r="Q2189" s="62" t="n"/>
    </row>
    <row r="2190">
      <c r="Q2190" s="62" t="n"/>
    </row>
    <row r="2191">
      <c r="Q2191" s="62" t="n"/>
    </row>
    <row r="2192">
      <c r="Q2192" s="62" t="n"/>
    </row>
    <row r="2193">
      <c r="Q2193" s="62" t="n"/>
    </row>
    <row r="2194">
      <c r="Q2194" s="62" t="n"/>
    </row>
    <row r="2195">
      <c r="Q2195" s="62" t="n"/>
    </row>
    <row r="2196">
      <c r="Q2196" s="62" t="n"/>
    </row>
    <row r="2197">
      <c r="Q2197" s="62" t="n"/>
    </row>
    <row r="2198">
      <c r="Q2198" s="62" t="n"/>
    </row>
    <row r="2199">
      <c r="Q2199" s="62" t="n"/>
    </row>
    <row r="2200">
      <c r="Q2200" s="62" t="n"/>
    </row>
    <row r="2201">
      <c r="Q2201" s="62" t="n"/>
    </row>
    <row r="2202">
      <c r="Q2202" s="62" t="n"/>
    </row>
    <row r="2203">
      <c r="Q2203" s="62" t="n"/>
    </row>
    <row r="2204">
      <c r="Q2204" s="62" t="n"/>
    </row>
    <row r="2205">
      <c r="Q2205" s="62" t="n"/>
    </row>
    <row r="2206">
      <c r="Q2206" s="62" t="n"/>
    </row>
    <row r="2207">
      <c r="Q2207" s="62" t="n"/>
    </row>
    <row r="2208">
      <c r="Q2208" s="62" t="n"/>
    </row>
    <row r="2209">
      <c r="Q2209" s="62" t="n"/>
    </row>
    <row r="2210">
      <c r="Q2210" s="62" t="n"/>
    </row>
    <row r="2211">
      <c r="Q2211" s="62" t="n"/>
    </row>
    <row r="2212">
      <c r="Q2212" s="62" t="n"/>
    </row>
    <row r="2213">
      <c r="Q2213" s="62" t="n"/>
    </row>
    <row r="2214">
      <c r="Q2214" s="62" t="n"/>
    </row>
    <row r="2215">
      <c r="Q2215" s="62" t="n"/>
    </row>
    <row r="2216">
      <c r="Q2216" s="62" t="n"/>
    </row>
    <row r="2217">
      <c r="Q2217" s="62" t="n"/>
    </row>
    <row r="2218">
      <c r="Q2218" s="62" t="n"/>
    </row>
    <row r="2219">
      <c r="Q2219" s="62" t="n"/>
    </row>
    <row r="2220">
      <c r="Q2220" s="62" t="n"/>
    </row>
    <row r="2221">
      <c r="Q2221" s="62" t="n"/>
    </row>
    <row r="2222">
      <c r="Q2222" s="62" t="n"/>
    </row>
    <row r="2223">
      <c r="Q2223" s="62" t="n"/>
    </row>
    <row r="2224">
      <c r="Q2224" s="62" t="n"/>
    </row>
    <row r="2225">
      <c r="Q2225" s="62" t="n"/>
    </row>
    <row r="2226">
      <c r="Q2226" s="62" t="n"/>
    </row>
    <row r="2227">
      <c r="Q2227" s="62" t="n"/>
    </row>
    <row r="2228">
      <c r="Q2228" s="62" t="n"/>
    </row>
    <row r="2229">
      <c r="Q2229" s="62" t="n"/>
    </row>
    <row r="2230">
      <c r="Q2230" s="62" t="n"/>
    </row>
    <row r="2231">
      <c r="Q2231" s="62" t="n"/>
    </row>
    <row r="2232">
      <c r="Q2232" s="62" t="n"/>
    </row>
    <row r="2233">
      <c r="Q2233" s="62" t="n"/>
    </row>
    <row r="2234">
      <c r="Q2234" s="62" t="n"/>
    </row>
    <row r="2235">
      <c r="Q2235" s="62" t="n"/>
    </row>
    <row r="2236">
      <c r="Q2236" s="62" t="n"/>
    </row>
    <row r="2237">
      <c r="Q2237" s="62" t="n"/>
    </row>
    <row r="2238">
      <c r="Q2238" s="62" t="n"/>
    </row>
    <row r="2239">
      <c r="Q2239" s="62" t="n"/>
    </row>
    <row r="2240">
      <c r="Q2240" s="62" t="n"/>
    </row>
    <row r="2241">
      <c r="Q2241" s="62" t="n"/>
    </row>
    <row r="2242">
      <c r="Q2242" s="62" t="n"/>
    </row>
    <row r="2243">
      <c r="Q2243" s="62" t="n"/>
    </row>
    <row r="2244">
      <c r="Q2244" s="62" t="n"/>
    </row>
    <row r="2245">
      <c r="Q2245" s="62" t="n"/>
    </row>
    <row r="2246">
      <c r="Q2246" s="62" t="n"/>
    </row>
    <row r="2247">
      <c r="Q2247" s="62" t="n"/>
    </row>
    <row r="2248">
      <c r="Q2248" s="62" t="n"/>
    </row>
    <row r="2249">
      <c r="Q2249" s="62" t="n"/>
    </row>
    <row r="2250">
      <c r="Q2250" s="62" t="n"/>
    </row>
    <row r="2251">
      <c r="Q2251" s="62" t="n"/>
    </row>
    <row r="2252">
      <c r="Q2252" s="62" t="n"/>
    </row>
    <row r="2253">
      <c r="Q2253" s="62" t="n"/>
    </row>
    <row r="2254">
      <c r="Q2254" s="62" t="n"/>
    </row>
    <row r="2255">
      <c r="Q2255" s="62" t="n"/>
    </row>
    <row r="2256">
      <c r="Q2256" s="62" t="n"/>
    </row>
    <row r="2257">
      <c r="Q2257" s="62" t="n"/>
    </row>
    <row r="2258">
      <c r="Q2258" s="62" t="n"/>
    </row>
    <row r="2259">
      <c r="Q2259" s="62" t="n"/>
    </row>
    <row r="2260">
      <c r="Q2260" s="62" t="n"/>
    </row>
    <row r="2261">
      <c r="Q2261" s="62" t="n"/>
    </row>
    <row r="2262">
      <c r="Q2262" s="62" t="n"/>
    </row>
    <row r="2263">
      <c r="Q2263" s="62" t="n"/>
    </row>
    <row r="2264">
      <c r="Q2264" s="62" t="n"/>
    </row>
    <row r="2265">
      <c r="Q2265" s="62" t="n"/>
    </row>
    <row r="2266">
      <c r="Q2266" s="62" t="n"/>
    </row>
    <row r="2267">
      <c r="Q2267" s="62" t="n"/>
    </row>
    <row r="2268">
      <c r="Q2268" s="62" t="n"/>
    </row>
    <row r="2269">
      <c r="Q2269" s="62" t="n"/>
    </row>
    <row r="2270">
      <c r="Q2270" s="62" t="n"/>
    </row>
    <row r="2271">
      <c r="Q2271" s="62" t="n"/>
    </row>
    <row r="2272">
      <c r="Q2272" s="62" t="n"/>
    </row>
    <row r="2273">
      <c r="Q2273" s="62" t="n"/>
    </row>
    <row r="2274">
      <c r="Q2274" s="62" t="n"/>
    </row>
    <row r="2275">
      <c r="Q2275" s="62" t="n"/>
    </row>
    <row r="2276">
      <c r="Q2276" s="62" t="n"/>
    </row>
    <row r="2277">
      <c r="Q2277" s="62" t="n"/>
    </row>
    <row r="2278">
      <c r="Q2278" s="62" t="n"/>
    </row>
    <row r="2279">
      <c r="Q2279" s="62" t="n"/>
    </row>
    <row r="2280">
      <c r="Q2280" s="62" t="n"/>
    </row>
    <row r="2281">
      <c r="Q2281" s="62" t="n"/>
    </row>
    <row r="2282">
      <c r="Q2282" s="62" t="n"/>
    </row>
    <row r="2283">
      <c r="Q2283" s="62" t="n"/>
    </row>
    <row r="2284">
      <c r="Q2284" s="62" t="n"/>
    </row>
    <row r="2285">
      <c r="Q2285" s="62" t="n"/>
    </row>
    <row r="2286">
      <c r="Q2286" s="62" t="n"/>
    </row>
    <row r="2287">
      <c r="Q2287" s="62" t="n"/>
    </row>
    <row r="2288">
      <c r="Q2288" s="62" t="n"/>
    </row>
    <row r="2289">
      <c r="Q2289" s="62" t="n"/>
    </row>
    <row r="2290">
      <c r="Q2290" s="62" t="n"/>
    </row>
    <row r="2291">
      <c r="Q2291" s="62" t="n"/>
    </row>
    <row r="2292">
      <c r="Q2292" s="62" t="n"/>
    </row>
    <row r="2293">
      <c r="Q2293" s="62" t="n"/>
    </row>
    <row r="2294">
      <c r="Q2294" s="62" t="n"/>
    </row>
    <row r="2295">
      <c r="Q2295" s="62" t="n"/>
    </row>
    <row r="2296">
      <c r="Q2296" s="62" t="n"/>
    </row>
    <row r="2297">
      <c r="Q2297" s="62" t="n"/>
    </row>
    <row r="2298">
      <c r="Q2298" s="62" t="n"/>
    </row>
    <row r="2299">
      <c r="Q2299" s="62" t="n"/>
    </row>
    <row r="2300">
      <c r="Q2300" s="62" t="n"/>
    </row>
    <row r="2301">
      <c r="Q2301" s="62" t="n"/>
    </row>
    <row r="2302">
      <c r="Q2302" s="62" t="n"/>
    </row>
    <row r="2303">
      <c r="Q2303" s="62" t="n"/>
    </row>
    <row r="2304">
      <c r="Q2304" s="62" t="n"/>
    </row>
    <row r="2305">
      <c r="Q2305" s="62" t="n"/>
    </row>
    <row r="2306">
      <c r="Q2306" s="62" t="n"/>
    </row>
    <row r="2307">
      <c r="Q2307" s="62" t="n"/>
    </row>
    <row r="2308">
      <c r="Q2308" s="62" t="n"/>
    </row>
    <row r="2309">
      <c r="Q2309" s="62" t="n"/>
    </row>
    <row r="2310">
      <c r="Q2310" s="62" t="n"/>
    </row>
    <row r="2311">
      <c r="Q2311" s="62" t="n"/>
    </row>
    <row r="2312">
      <c r="Q2312" s="62" t="n"/>
    </row>
    <row r="2313">
      <c r="Q2313" s="62" t="n"/>
    </row>
    <row r="2314">
      <c r="Q2314" s="62" t="n"/>
    </row>
    <row r="2315">
      <c r="Q2315" s="62" t="n"/>
    </row>
    <row r="2316">
      <c r="Q2316" s="62" t="n"/>
    </row>
    <row r="2317">
      <c r="Q2317" s="62" t="n"/>
    </row>
    <row r="2318">
      <c r="Q2318" s="62" t="n"/>
    </row>
    <row r="2319">
      <c r="Q2319" s="62" t="n"/>
    </row>
    <row r="2320">
      <c r="Q2320" s="62" t="n"/>
    </row>
    <row r="2321">
      <c r="Q2321" s="62" t="n"/>
    </row>
    <row r="2322">
      <c r="Q2322" s="62" t="n"/>
    </row>
    <row r="2323">
      <c r="Q2323" s="62" t="n"/>
    </row>
    <row r="2324">
      <c r="Q2324" s="62" t="n"/>
    </row>
    <row r="2325">
      <c r="Q2325" s="62" t="n"/>
    </row>
    <row r="2326">
      <c r="Q2326" s="62" t="n"/>
    </row>
    <row r="2327">
      <c r="Q2327" s="62" t="n"/>
    </row>
    <row r="2328">
      <c r="Q2328" s="62" t="n"/>
    </row>
    <row r="2329">
      <c r="Q2329" s="62" t="n"/>
    </row>
    <row r="2330">
      <c r="Q2330" s="62" t="n"/>
    </row>
    <row r="2331">
      <c r="Q2331" s="62" t="n"/>
    </row>
    <row r="2332">
      <c r="Q2332" s="62" t="n"/>
    </row>
    <row r="2333">
      <c r="Q2333" s="62" t="n"/>
    </row>
    <row r="2334">
      <c r="Q2334" s="62" t="n"/>
    </row>
    <row r="2335">
      <c r="Q2335" s="62" t="n"/>
    </row>
    <row r="2336">
      <c r="Q2336" s="62" t="n"/>
    </row>
    <row r="2337">
      <c r="Q2337" s="62" t="n"/>
    </row>
    <row r="2338">
      <c r="Q2338" s="62" t="n"/>
    </row>
    <row r="2339">
      <c r="Q2339" s="62" t="n"/>
    </row>
    <row r="2340">
      <c r="Q2340" s="62" t="n"/>
    </row>
    <row r="2341">
      <c r="Q2341" s="62" t="n"/>
    </row>
    <row r="2342">
      <c r="Q2342" s="62" t="n"/>
    </row>
    <row r="2343">
      <c r="Q2343" s="62" t="n"/>
    </row>
    <row r="2344">
      <c r="Q2344" s="62" t="n"/>
    </row>
    <row r="2345">
      <c r="Q2345" s="62" t="n"/>
    </row>
    <row r="2346">
      <c r="Q2346" s="62" t="n"/>
    </row>
    <row r="2347">
      <c r="Q2347" s="62" t="n"/>
    </row>
    <row r="2348">
      <c r="Q2348" s="62" t="n"/>
    </row>
    <row r="2349">
      <c r="Q2349" s="62" t="n"/>
    </row>
    <row r="2350">
      <c r="Q2350" s="62" t="n"/>
    </row>
    <row r="2351">
      <c r="Q2351" s="62" t="n"/>
    </row>
    <row r="2352">
      <c r="Q2352" s="62" t="n"/>
    </row>
    <row r="2353">
      <c r="Q2353" s="62" t="n"/>
    </row>
    <row r="2354">
      <c r="Q2354" s="62" t="n"/>
    </row>
    <row r="2355">
      <c r="Q2355" s="62" t="n"/>
    </row>
    <row r="2356">
      <c r="Q2356" s="62" t="n"/>
    </row>
    <row r="2357">
      <c r="Q2357" s="62" t="n"/>
    </row>
    <row r="2358">
      <c r="Q2358" s="62" t="n"/>
    </row>
    <row r="2359">
      <c r="Q2359" s="62" t="n"/>
    </row>
    <row r="2360">
      <c r="Q2360" s="62" t="n"/>
    </row>
    <row r="2361">
      <c r="Q2361" s="62" t="n"/>
    </row>
    <row r="2362">
      <c r="Q2362" s="62" t="n"/>
    </row>
    <row r="2363">
      <c r="Q2363" s="62" t="n"/>
    </row>
    <row r="2364">
      <c r="Q2364" s="62" t="n"/>
    </row>
    <row r="2365">
      <c r="Q2365" s="62" t="n"/>
    </row>
    <row r="2366">
      <c r="Q2366" s="62" t="n"/>
    </row>
    <row r="2367">
      <c r="Q2367" s="62" t="n"/>
    </row>
    <row r="2368">
      <c r="Q2368" s="62" t="n"/>
    </row>
    <row r="2369">
      <c r="Q2369" s="62" t="n"/>
    </row>
    <row r="2370">
      <c r="Q2370" s="62" t="n"/>
    </row>
    <row r="2371">
      <c r="Q2371" s="62" t="n"/>
    </row>
    <row r="2372">
      <c r="Q2372" s="62" t="n"/>
    </row>
    <row r="2373">
      <c r="Q2373" s="62" t="n"/>
    </row>
    <row r="2374">
      <c r="Q2374" s="62" t="n"/>
    </row>
    <row r="2375">
      <c r="Q2375" s="62" t="n"/>
    </row>
    <row r="2376">
      <c r="Q2376" s="62" t="n"/>
    </row>
    <row r="2377">
      <c r="Q2377" s="62" t="n"/>
    </row>
    <row r="2378">
      <c r="Q2378" s="62" t="n"/>
    </row>
    <row r="2379">
      <c r="Q2379" s="62" t="n"/>
    </row>
    <row r="2380">
      <c r="Q2380" s="62" t="n"/>
    </row>
    <row r="2381">
      <c r="Q2381" s="62" t="n"/>
    </row>
    <row r="2382">
      <c r="Q2382" s="62" t="n"/>
    </row>
    <row r="2383">
      <c r="Q2383" s="62" t="n"/>
    </row>
    <row r="2384">
      <c r="Q2384" s="62" t="n"/>
    </row>
    <row r="2385">
      <c r="Q2385" s="62" t="n"/>
    </row>
    <row r="2386">
      <c r="Q2386" s="62" t="n"/>
    </row>
    <row r="2387">
      <c r="Q2387" s="62" t="n"/>
    </row>
    <row r="2388">
      <c r="Q2388" s="62" t="n"/>
    </row>
    <row r="2389">
      <c r="Q2389" s="62" t="n"/>
    </row>
    <row r="2390">
      <c r="Q2390" s="62" t="n"/>
    </row>
    <row r="2391">
      <c r="Q2391" s="62" t="n"/>
    </row>
    <row r="2392">
      <c r="Q2392" s="62" t="n"/>
    </row>
    <row r="2393">
      <c r="Q2393" s="62" t="n"/>
    </row>
    <row r="2394">
      <c r="Q2394" s="62" t="n"/>
    </row>
    <row r="2395">
      <c r="Q2395" s="62" t="n"/>
    </row>
    <row r="2396">
      <c r="Q2396" s="62" t="n"/>
    </row>
    <row r="2397">
      <c r="Q2397" s="62" t="n"/>
    </row>
    <row r="2398">
      <c r="Q2398" s="62" t="n"/>
    </row>
    <row r="2399">
      <c r="Q2399" s="62" t="n"/>
    </row>
    <row r="2400">
      <c r="Q2400" s="62" t="n"/>
    </row>
    <row r="2401">
      <c r="Q2401" s="62" t="n"/>
    </row>
    <row r="2402">
      <c r="Q2402" s="62" t="n"/>
    </row>
    <row r="2403">
      <c r="Q2403" s="62" t="n"/>
    </row>
    <row r="2404">
      <c r="Q2404" s="62" t="n"/>
    </row>
    <row r="2405">
      <c r="Q2405" s="62" t="n"/>
    </row>
    <row r="2406">
      <c r="Q2406" s="62" t="n"/>
    </row>
    <row r="2407">
      <c r="Q2407" s="62" t="n"/>
    </row>
    <row r="2408">
      <c r="Q2408" s="62" t="n"/>
    </row>
    <row r="2409">
      <c r="Q2409" s="62" t="n"/>
    </row>
    <row r="2410">
      <c r="Q2410" s="62" t="n"/>
    </row>
    <row r="2411">
      <c r="Q2411" s="62" t="n"/>
    </row>
    <row r="2412">
      <c r="Q2412" s="62" t="n"/>
    </row>
    <row r="2413">
      <c r="Q2413" s="62" t="n"/>
    </row>
    <row r="2414">
      <c r="Q2414" s="62" t="n"/>
    </row>
    <row r="2415">
      <c r="Q2415" s="62" t="n"/>
    </row>
    <row r="2416">
      <c r="Q2416" s="62" t="n"/>
    </row>
    <row r="2417">
      <c r="Q2417" s="62" t="n"/>
    </row>
    <row r="2418">
      <c r="Q2418" s="62" t="n"/>
    </row>
    <row r="2419">
      <c r="Q2419" s="62" t="n"/>
    </row>
    <row r="2420">
      <c r="Q2420" s="62" t="n"/>
    </row>
    <row r="2421">
      <c r="Q2421" s="62" t="n"/>
    </row>
    <row r="2422">
      <c r="Q2422" s="62" t="n"/>
    </row>
    <row r="2423">
      <c r="Q2423" s="62" t="n"/>
    </row>
    <row r="2424">
      <c r="Q2424" s="62" t="n"/>
    </row>
    <row r="2425">
      <c r="Q2425" s="62" t="n"/>
    </row>
    <row r="2426">
      <c r="Q2426" s="62" t="n"/>
    </row>
    <row r="2427">
      <c r="Q2427" s="62" t="n"/>
    </row>
    <row r="2428">
      <c r="Q2428" s="62" t="n"/>
    </row>
    <row r="2429">
      <c r="Q2429" s="62" t="n"/>
    </row>
    <row r="2430">
      <c r="Q2430" s="62" t="n"/>
    </row>
    <row r="2431">
      <c r="Q2431" s="62" t="n"/>
    </row>
    <row r="2432">
      <c r="Q2432" s="62" t="n"/>
    </row>
    <row r="2433">
      <c r="Q2433" s="62" t="n"/>
    </row>
    <row r="2434">
      <c r="Q2434" s="62" t="n"/>
    </row>
    <row r="2435">
      <c r="Q2435" s="62" t="n"/>
    </row>
    <row r="2436">
      <c r="Q2436" s="62" t="n"/>
    </row>
    <row r="2437">
      <c r="Q2437" s="62" t="n"/>
    </row>
    <row r="2438">
      <c r="Q2438" s="62" t="n"/>
    </row>
    <row r="2439">
      <c r="Q2439" s="62" t="n"/>
    </row>
    <row r="2440">
      <c r="Q2440" s="62" t="n"/>
    </row>
    <row r="2441">
      <c r="Q2441" s="62" t="n"/>
    </row>
    <row r="2442">
      <c r="Q2442" s="62" t="n"/>
    </row>
    <row r="2443">
      <c r="Q2443" s="62" t="n"/>
    </row>
    <row r="2444">
      <c r="Q2444" s="62" t="n"/>
    </row>
    <row r="2445">
      <c r="Q2445" s="62" t="n"/>
    </row>
    <row r="2446">
      <c r="Q2446" s="62" t="n"/>
    </row>
    <row r="2447">
      <c r="Q2447" s="62" t="n"/>
    </row>
    <row r="2448">
      <c r="Q2448" s="62" t="n"/>
    </row>
    <row r="2449">
      <c r="Q2449" s="62" t="n"/>
    </row>
    <row r="2450">
      <c r="Q2450" s="62" t="n"/>
    </row>
    <row r="2451">
      <c r="Q2451" s="62" t="n"/>
    </row>
    <row r="2452">
      <c r="Q2452" s="62" t="n"/>
    </row>
    <row r="2453">
      <c r="Q2453" s="62" t="n"/>
    </row>
    <row r="2454">
      <c r="Q2454" s="62" t="n"/>
    </row>
    <row r="2455">
      <c r="Q2455" s="62" t="n"/>
    </row>
    <row r="2456">
      <c r="Q2456" s="62" t="n"/>
    </row>
    <row r="2457">
      <c r="Q2457" s="62" t="n"/>
    </row>
    <row r="2458">
      <c r="Q2458" s="62" t="n"/>
    </row>
    <row r="2459">
      <c r="Q2459" s="62" t="n"/>
    </row>
    <row r="2460">
      <c r="Q2460" s="62" t="n"/>
    </row>
    <row r="2461">
      <c r="Q2461" s="62" t="n"/>
    </row>
    <row r="2462">
      <c r="Q2462" s="62" t="n"/>
    </row>
    <row r="2463">
      <c r="Q2463" s="62" t="n"/>
    </row>
    <row r="2464">
      <c r="Q2464" s="62" t="n"/>
    </row>
    <row r="2465">
      <c r="Q2465" s="62" t="n"/>
    </row>
    <row r="2466">
      <c r="Q2466" s="62" t="n"/>
    </row>
    <row r="2467">
      <c r="Q2467" s="62" t="n"/>
    </row>
    <row r="2468">
      <c r="Q2468" s="62" t="n"/>
    </row>
    <row r="2469">
      <c r="Q2469" s="62" t="n"/>
    </row>
    <row r="2470">
      <c r="Q2470" s="62" t="n"/>
    </row>
    <row r="2471">
      <c r="Q2471" s="62" t="n"/>
    </row>
    <row r="2472">
      <c r="Q2472" s="62" t="n"/>
    </row>
    <row r="2473">
      <c r="Q2473" s="62" t="n"/>
    </row>
    <row r="2474">
      <c r="Q2474" s="62" t="n"/>
    </row>
    <row r="2475">
      <c r="Q2475" s="62" t="n"/>
    </row>
    <row r="2476">
      <c r="Q2476" s="62" t="n"/>
    </row>
    <row r="2477">
      <c r="Q2477" s="62" t="n"/>
    </row>
    <row r="2478">
      <c r="Q2478" s="62" t="n"/>
    </row>
    <row r="2479">
      <c r="Q2479" s="62" t="n"/>
    </row>
    <row r="2480">
      <c r="Q2480" s="62" t="n"/>
    </row>
    <row r="2481">
      <c r="Q2481" s="62" t="n"/>
    </row>
    <row r="2482">
      <c r="Q2482" s="62" t="n"/>
    </row>
    <row r="2483">
      <c r="Q2483" s="62" t="n"/>
    </row>
    <row r="2484">
      <c r="Q2484" s="62" t="n"/>
    </row>
    <row r="2485">
      <c r="Q2485" s="62" t="n"/>
    </row>
    <row r="2486">
      <c r="Q2486" s="62" t="n"/>
    </row>
    <row r="2487">
      <c r="Q2487" s="62" t="n"/>
    </row>
    <row r="2488">
      <c r="Q2488" s="62" t="n"/>
    </row>
    <row r="2489">
      <c r="Q2489" s="62" t="n"/>
    </row>
    <row r="2490">
      <c r="Q2490" s="62" t="n"/>
    </row>
    <row r="2491">
      <c r="Q2491" s="62" t="n"/>
    </row>
    <row r="2492">
      <c r="Q2492" s="62" t="n"/>
    </row>
    <row r="2493">
      <c r="Q2493" s="62" t="n"/>
    </row>
    <row r="2494">
      <c r="Q2494" s="62" t="n"/>
    </row>
    <row r="2495">
      <c r="Q2495" s="62" t="n"/>
    </row>
    <row r="2496">
      <c r="Q2496" s="62" t="n"/>
    </row>
    <row r="2497">
      <c r="Q2497" s="62" t="n"/>
    </row>
    <row r="2498">
      <c r="Q2498" s="62" t="n"/>
    </row>
    <row r="2499">
      <c r="Q2499" s="62" t="n"/>
    </row>
    <row r="2500">
      <c r="Q2500" s="62" t="n"/>
    </row>
    <row r="2501">
      <c r="Q2501" s="62" t="n"/>
    </row>
    <row r="2502">
      <c r="Q2502" s="62" t="n"/>
    </row>
    <row r="2503">
      <c r="Q2503" s="62" t="n"/>
    </row>
    <row r="2504">
      <c r="Q2504" s="62" t="n"/>
    </row>
    <row r="2505">
      <c r="Q2505" s="62" t="n"/>
    </row>
    <row r="2506">
      <c r="Q2506" s="62" t="n"/>
    </row>
    <row r="2507">
      <c r="Q2507" s="62" t="n"/>
    </row>
    <row r="2508">
      <c r="Q2508" s="62" t="n"/>
    </row>
    <row r="2509">
      <c r="Q2509" s="62" t="n"/>
    </row>
    <row r="2510">
      <c r="Q2510" s="62" t="n"/>
    </row>
    <row r="2511">
      <c r="Q2511" s="62" t="n"/>
    </row>
    <row r="2512">
      <c r="Q2512" s="62" t="n"/>
    </row>
    <row r="2513">
      <c r="Q2513" s="62" t="n"/>
    </row>
    <row r="2514">
      <c r="Q2514" s="62" t="n"/>
    </row>
    <row r="2515">
      <c r="Q2515" s="62" t="n"/>
    </row>
    <row r="2516">
      <c r="Q2516" s="62" t="n"/>
    </row>
    <row r="2517">
      <c r="Q2517" s="62" t="n"/>
    </row>
    <row r="2518">
      <c r="Q2518" s="62" t="n"/>
    </row>
    <row r="2519">
      <c r="Q2519" s="62" t="n"/>
    </row>
    <row r="2520">
      <c r="Q2520" s="62" t="n"/>
    </row>
    <row r="2521">
      <c r="Q2521" s="62" t="n"/>
    </row>
    <row r="2522">
      <c r="Q2522" s="62" t="n"/>
    </row>
    <row r="2523">
      <c r="Q2523" s="62" t="n"/>
    </row>
    <row r="2524">
      <c r="Q2524" s="62" t="n"/>
    </row>
    <row r="2525">
      <c r="Q2525" s="62" t="n"/>
    </row>
    <row r="2526">
      <c r="Q2526" s="62" t="n"/>
    </row>
    <row r="2527">
      <c r="Q2527" s="62" t="n"/>
    </row>
    <row r="2528">
      <c r="Q2528" s="62" t="n"/>
    </row>
    <row r="2529">
      <c r="Q2529" s="62" t="n"/>
    </row>
    <row r="2530">
      <c r="Q2530" s="62" t="n"/>
    </row>
    <row r="2531">
      <c r="Q2531" s="62" t="n"/>
    </row>
    <row r="2532">
      <c r="Q2532" s="62" t="n"/>
    </row>
    <row r="2533">
      <c r="Q2533" s="62" t="n"/>
    </row>
    <row r="2534">
      <c r="Q2534" s="62" t="n"/>
    </row>
    <row r="2535">
      <c r="Q2535" s="62" t="n"/>
    </row>
    <row r="2536">
      <c r="Q2536" s="62" t="n"/>
    </row>
    <row r="2537">
      <c r="Q2537" s="62" t="n"/>
    </row>
    <row r="2538">
      <c r="Q2538" s="62" t="n"/>
    </row>
    <row r="2539">
      <c r="Q2539" s="62" t="n"/>
    </row>
    <row r="2540">
      <c r="Q2540" s="62" t="n"/>
    </row>
    <row r="2541">
      <c r="Q2541" s="62" t="n"/>
    </row>
    <row r="2542">
      <c r="Q2542" s="62" t="n"/>
    </row>
    <row r="2543">
      <c r="Q2543" s="62" t="n"/>
    </row>
    <row r="2544">
      <c r="Q2544" s="62" t="n"/>
    </row>
    <row r="2545">
      <c r="Q2545" s="62" t="n"/>
    </row>
    <row r="2546">
      <c r="Q2546" s="62" t="n"/>
    </row>
    <row r="2547">
      <c r="Q2547" s="62" t="n"/>
    </row>
    <row r="2548">
      <c r="Q2548" s="62" t="n"/>
    </row>
    <row r="2549">
      <c r="Q2549" s="62" t="n"/>
    </row>
    <row r="2550">
      <c r="Q2550" s="62" t="n"/>
    </row>
    <row r="2551">
      <c r="Q2551" s="62" t="n"/>
    </row>
    <row r="2552">
      <c r="Q2552" s="62" t="n"/>
    </row>
    <row r="2553">
      <c r="Q2553" s="62" t="n"/>
    </row>
    <row r="2554">
      <c r="Q2554" s="62" t="n"/>
    </row>
    <row r="2555">
      <c r="Q2555" s="62" t="n"/>
    </row>
    <row r="2556">
      <c r="Q2556" s="62" t="n"/>
    </row>
    <row r="2557">
      <c r="Q2557" s="62" t="n"/>
    </row>
    <row r="2558">
      <c r="Q2558" s="62" t="n"/>
    </row>
    <row r="2559">
      <c r="Q2559" s="62" t="n"/>
    </row>
    <row r="2560">
      <c r="Q2560" s="62" t="n"/>
    </row>
    <row r="2561">
      <c r="Q2561" s="62" t="n"/>
    </row>
    <row r="2562">
      <c r="Q2562" s="62" t="n"/>
    </row>
    <row r="2563">
      <c r="Q2563" s="62" t="n"/>
    </row>
    <row r="2564">
      <c r="Q2564" s="62" t="n"/>
    </row>
    <row r="2565">
      <c r="Q2565" s="62" t="n"/>
    </row>
    <row r="2566">
      <c r="Q2566" s="62" t="n"/>
    </row>
    <row r="2567">
      <c r="Q2567" s="62" t="n"/>
    </row>
    <row r="2568">
      <c r="Q2568" s="62" t="n"/>
    </row>
    <row r="2569">
      <c r="Q2569" s="62" t="n"/>
    </row>
    <row r="2570">
      <c r="Q2570" s="62" t="n"/>
    </row>
    <row r="2571">
      <c r="Q2571" s="62" t="n"/>
    </row>
    <row r="2572">
      <c r="Q2572" s="62" t="n"/>
    </row>
    <row r="2573">
      <c r="Q2573" s="62" t="n"/>
    </row>
    <row r="2574">
      <c r="Q2574" s="62" t="n"/>
    </row>
    <row r="2575">
      <c r="Q2575" s="62" t="n"/>
    </row>
    <row r="2576">
      <c r="Q2576" s="62" t="n"/>
    </row>
    <row r="2577">
      <c r="Q2577" s="62" t="n"/>
    </row>
    <row r="2578">
      <c r="Q2578" s="62" t="n"/>
    </row>
    <row r="2579">
      <c r="Q2579" s="62" t="n"/>
    </row>
    <row r="2580">
      <c r="Q2580" s="62" t="n"/>
    </row>
    <row r="2581">
      <c r="Q2581" s="62" t="n"/>
    </row>
    <row r="2582">
      <c r="Q2582" s="62" t="n"/>
    </row>
    <row r="2583">
      <c r="Q2583" s="62" t="n"/>
    </row>
    <row r="2584">
      <c r="Q2584" s="62" t="n"/>
    </row>
    <row r="2585">
      <c r="Q2585" s="62" t="n"/>
    </row>
    <row r="2586">
      <c r="Q2586" s="62" t="n"/>
    </row>
    <row r="2587">
      <c r="Q2587" s="62" t="n"/>
    </row>
    <row r="2588">
      <c r="Q2588" s="62" t="n"/>
    </row>
    <row r="2589">
      <c r="Q2589" s="62" t="n"/>
    </row>
    <row r="2590">
      <c r="Q2590" s="62" t="n"/>
    </row>
    <row r="2591">
      <c r="Q2591" s="62" t="n"/>
    </row>
    <row r="2592">
      <c r="Q2592" s="62" t="n"/>
    </row>
    <row r="2593">
      <c r="Q2593" s="62" t="n"/>
    </row>
    <row r="2594">
      <c r="Q2594" s="62" t="n"/>
    </row>
    <row r="2595">
      <c r="Q2595" s="62" t="n"/>
    </row>
    <row r="2596">
      <c r="Q2596" s="62" t="n"/>
    </row>
    <row r="2597">
      <c r="Q2597" s="62" t="n"/>
    </row>
    <row r="2598">
      <c r="Q2598" s="62" t="n"/>
    </row>
    <row r="2599">
      <c r="Q2599" s="62" t="n"/>
    </row>
    <row r="2600">
      <c r="Q2600" s="62" t="n"/>
    </row>
    <row r="2601">
      <c r="Q2601" s="62" t="n"/>
    </row>
    <row r="2602">
      <c r="Q2602" s="62" t="n"/>
    </row>
    <row r="2603">
      <c r="Q2603" s="62" t="n"/>
    </row>
    <row r="2604">
      <c r="Q2604" s="62" t="n"/>
    </row>
    <row r="2605">
      <c r="Q2605" s="62" t="n"/>
    </row>
    <row r="2606">
      <c r="Q2606" s="62" t="n"/>
    </row>
    <row r="2607">
      <c r="Q2607" s="62" t="n"/>
    </row>
    <row r="2608">
      <c r="Q2608" s="62" t="n"/>
    </row>
    <row r="2609">
      <c r="Q2609" s="62" t="n"/>
    </row>
    <row r="2610">
      <c r="Q2610" s="62" t="n"/>
    </row>
    <row r="2611">
      <c r="Q2611" s="62" t="n"/>
    </row>
    <row r="2612">
      <c r="Q2612" s="62" t="n"/>
    </row>
    <row r="2613">
      <c r="Q2613" s="62" t="n"/>
    </row>
    <row r="2614">
      <c r="Q2614" s="62" t="n"/>
    </row>
    <row r="2615">
      <c r="Q2615" s="62" t="n"/>
    </row>
    <row r="2616">
      <c r="Q2616" s="62" t="n"/>
    </row>
    <row r="2617">
      <c r="Q2617" s="62" t="n"/>
    </row>
    <row r="2618">
      <c r="Q2618" s="62" t="n"/>
    </row>
    <row r="2619">
      <c r="Q2619" s="62" t="n"/>
    </row>
    <row r="2620">
      <c r="Q2620" s="62" t="n"/>
    </row>
    <row r="2621">
      <c r="Q2621" s="62" t="n"/>
    </row>
    <row r="2622">
      <c r="Q2622" s="62" t="n"/>
    </row>
    <row r="2623">
      <c r="Q2623" s="62" t="n"/>
    </row>
    <row r="2624">
      <c r="Q2624" s="62" t="n"/>
    </row>
    <row r="2625">
      <c r="Q2625" s="62" t="n"/>
    </row>
    <row r="2626">
      <c r="Q2626" s="62" t="n"/>
    </row>
    <row r="2627">
      <c r="Q2627" s="62" t="n"/>
    </row>
    <row r="2628">
      <c r="Q2628" s="62" t="n"/>
    </row>
    <row r="2629">
      <c r="Q2629" s="62" t="n"/>
    </row>
    <row r="2630">
      <c r="Q2630" s="62" t="n"/>
    </row>
    <row r="2631">
      <c r="Q2631" s="62" t="n"/>
    </row>
    <row r="2632">
      <c r="Q2632" s="62" t="n"/>
    </row>
    <row r="2633">
      <c r="Q2633" s="62" t="n"/>
    </row>
    <row r="2634">
      <c r="Q2634" s="62" t="n"/>
    </row>
    <row r="2635">
      <c r="Q2635" s="62" t="n"/>
    </row>
    <row r="2636">
      <c r="Q2636" s="62" t="n"/>
    </row>
    <row r="2637">
      <c r="Q2637" s="62" t="n"/>
    </row>
    <row r="2638">
      <c r="Q2638" s="62" t="n"/>
    </row>
    <row r="2639">
      <c r="Q2639" s="62" t="n"/>
    </row>
    <row r="2640">
      <c r="Q2640" s="62" t="n"/>
    </row>
    <row r="2641">
      <c r="Q2641" s="62" t="n"/>
    </row>
    <row r="2642">
      <c r="Q2642" s="62" t="n"/>
    </row>
    <row r="2643">
      <c r="Q2643" s="62" t="n"/>
    </row>
    <row r="2644">
      <c r="Q2644" s="62" t="n"/>
    </row>
    <row r="2645">
      <c r="Q2645" s="62" t="n"/>
    </row>
    <row r="2646">
      <c r="Q2646" s="62" t="n"/>
    </row>
    <row r="2647">
      <c r="Q2647" s="62" t="n"/>
    </row>
    <row r="2648">
      <c r="Q2648" s="62" t="n"/>
    </row>
    <row r="2649">
      <c r="Q2649" s="62" t="n"/>
    </row>
    <row r="2650">
      <c r="Q2650" s="62" t="n"/>
    </row>
    <row r="2651">
      <c r="Q2651" s="62" t="n"/>
    </row>
    <row r="2652">
      <c r="Q2652" s="62" t="n"/>
    </row>
    <row r="2653">
      <c r="Q2653" s="62" t="n"/>
    </row>
    <row r="2654">
      <c r="Q2654" s="62" t="n"/>
    </row>
    <row r="2655">
      <c r="Q2655" s="62" t="n"/>
    </row>
    <row r="2656">
      <c r="Q2656" s="62" t="n"/>
    </row>
    <row r="2657">
      <c r="Q2657" s="62" t="n"/>
    </row>
    <row r="2658">
      <c r="Q2658" s="62" t="n"/>
    </row>
    <row r="2659">
      <c r="Q2659" s="62" t="n"/>
    </row>
    <row r="2660">
      <c r="Q2660" s="62" t="n"/>
    </row>
    <row r="2661">
      <c r="Q2661" s="62" t="n"/>
    </row>
    <row r="2662">
      <c r="Q2662" s="62" t="n"/>
    </row>
    <row r="2663">
      <c r="Q2663" s="62" t="n"/>
    </row>
    <row r="2664">
      <c r="Q2664" s="62" t="n"/>
    </row>
    <row r="2665">
      <c r="Q2665" s="62" t="n"/>
    </row>
    <row r="2666">
      <c r="Q2666" s="62" t="n"/>
    </row>
    <row r="2667">
      <c r="Q2667" s="62" t="n"/>
    </row>
    <row r="2668">
      <c r="Q2668" s="62" t="n"/>
    </row>
    <row r="2669">
      <c r="Q2669" s="62" t="n"/>
    </row>
    <row r="2670">
      <c r="Q2670" s="62" t="n"/>
    </row>
    <row r="2671">
      <c r="Q2671" s="62" t="n"/>
    </row>
    <row r="2672">
      <c r="Q2672" s="62" t="n"/>
    </row>
    <row r="2673">
      <c r="Q2673" s="62" t="n"/>
    </row>
    <row r="2674">
      <c r="Q2674" s="62" t="n"/>
    </row>
    <row r="2675">
      <c r="Q2675" s="62" t="n"/>
    </row>
    <row r="2676">
      <c r="Q2676" s="62" t="n"/>
    </row>
    <row r="2677">
      <c r="Q2677" s="62" t="n"/>
    </row>
    <row r="2678">
      <c r="Q2678" s="62" t="n"/>
    </row>
    <row r="2679">
      <c r="Q2679" s="62" t="n"/>
    </row>
    <row r="2680">
      <c r="Q2680" s="62" t="n"/>
    </row>
    <row r="2681">
      <c r="Q2681" s="62" t="n"/>
    </row>
    <row r="2682">
      <c r="Q2682" s="62" t="n"/>
    </row>
    <row r="2683">
      <c r="Q2683" s="62" t="n"/>
    </row>
    <row r="2684">
      <c r="Q2684" s="62" t="n"/>
    </row>
    <row r="2685">
      <c r="Q2685" s="62" t="n"/>
    </row>
    <row r="2686">
      <c r="Q2686" s="62" t="n"/>
    </row>
    <row r="2687">
      <c r="Q2687" s="62" t="n"/>
    </row>
    <row r="2688">
      <c r="Q2688" s="62" t="n"/>
    </row>
    <row r="2689">
      <c r="Q2689" s="62" t="n"/>
    </row>
    <row r="2690">
      <c r="Q2690" s="62" t="n"/>
    </row>
    <row r="2691">
      <c r="Q2691" s="62" t="n"/>
    </row>
    <row r="2692">
      <c r="Q2692" s="62" t="n"/>
    </row>
    <row r="2693">
      <c r="Q2693" s="62" t="n"/>
    </row>
    <row r="2694">
      <c r="Q2694" s="62" t="n"/>
    </row>
    <row r="2695">
      <c r="Q2695" s="62" t="n"/>
    </row>
    <row r="2696">
      <c r="Q2696" s="62" t="n"/>
    </row>
    <row r="2697">
      <c r="Q2697" s="62" t="n"/>
    </row>
    <row r="2698">
      <c r="Q2698" s="62" t="n"/>
    </row>
    <row r="2699">
      <c r="Q2699" s="62" t="n"/>
    </row>
    <row r="2700">
      <c r="Q2700" s="62" t="n"/>
    </row>
    <row r="2701">
      <c r="Q2701" s="62" t="n"/>
    </row>
    <row r="2702">
      <c r="Q2702" s="62" t="n"/>
    </row>
    <row r="2703">
      <c r="Q2703" s="62" t="n"/>
    </row>
    <row r="2704">
      <c r="Q2704" s="62" t="n"/>
    </row>
    <row r="2705">
      <c r="Q2705" s="62" t="n"/>
    </row>
    <row r="2706">
      <c r="Q2706" s="62" t="n"/>
    </row>
    <row r="2707">
      <c r="Q2707" s="62" t="n"/>
    </row>
    <row r="2708">
      <c r="Q2708" s="62" t="n"/>
    </row>
    <row r="2709">
      <c r="Q2709" s="62" t="n"/>
    </row>
    <row r="2710">
      <c r="Q2710" s="62" t="n"/>
    </row>
    <row r="2711">
      <c r="Q2711" s="62" t="n"/>
    </row>
    <row r="2712">
      <c r="Q2712" s="62" t="n"/>
    </row>
    <row r="2713">
      <c r="Q2713" s="62" t="n"/>
    </row>
    <row r="2714">
      <c r="Q2714" s="62" t="n"/>
    </row>
    <row r="2715">
      <c r="Q2715" s="62" t="n"/>
    </row>
    <row r="2716">
      <c r="Q2716" s="62" t="n"/>
    </row>
    <row r="2717">
      <c r="Q2717" s="62" t="n"/>
    </row>
    <row r="2718">
      <c r="Q2718" s="62" t="n"/>
    </row>
    <row r="2719">
      <c r="Q2719" s="62" t="n"/>
    </row>
    <row r="2720">
      <c r="Q2720" s="62" t="n"/>
    </row>
    <row r="2721">
      <c r="Q2721" s="62" t="n"/>
    </row>
    <row r="2722">
      <c r="Q2722" s="62" t="n"/>
    </row>
    <row r="2723">
      <c r="Q2723" s="62" t="n"/>
    </row>
    <row r="2724">
      <c r="Q2724" s="62" t="n"/>
    </row>
    <row r="2725">
      <c r="Q2725" s="62" t="n"/>
    </row>
    <row r="2726">
      <c r="Q2726" s="62" t="n"/>
    </row>
    <row r="2727">
      <c r="Q2727" s="62" t="n"/>
    </row>
    <row r="2728">
      <c r="Q2728" s="62" t="n"/>
    </row>
    <row r="2729">
      <c r="Q2729" s="62" t="n"/>
    </row>
    <row r="2730">
      <c r="Q2730" s="62" t="n"/>
    </row>
    <row r="2731">
      <c r="Q2731" s="62" t="n"/>
    </row>
    <row r="2732">
      <c r="Q2732" s="62" t="n"/>
    </row>
    <row r="2733">
      <c r="Q2733" s="62" t="n"/>
    </row>
    <row r="2734">
      <c r="Q2734" s="62" t="n"/>
    </row>
    <row r="2735">
      <c r="Q2735" s="62" t="n"/>
    </row>
    <row r="2736">
      <c r="Q2736" s="62" t="n"/>
    </row>
    <row r="2737">
      <c r="Q2737" s="62" t="n"/>
    </row>
    <row r="2738">
      <c r="Q2738" s="62" t="n"/>
    </row>
    <row r="2739">
      <c r="Q2739" s="62" t="n"/>
    </row>
    <row r="2740">
      <c r="Q2740" s="62" t="n"/>
    </row>
    <row r="2741">
      <c r="Q2741" s="62" t="n"/>
    </row>
    <row r="2742">
      <c r="Q2742" s="62" t="n"/>
    </row>
    <row r="2743">
      <c r="Q2743" s="62" t="n"/>
    </row>
    <row r="2744">
      <c r="Q2744" s="62" t="n"/>
    </row>
    <row r="2745">
      <c r="Q2745" s="62" t="n"/>
    </row>
    <row r="2746">
      <c r="Q2746" s="62" t="n"/>
    </row>
    <row r="2747">
      <c r="Q2747" s="62" t="n"/>
    </row>
    <row r="2748">
      <c r="Q2748" s="62" t="n"/>
    </row>
    <row r="2749">
      <c r="Q2749" s="62" t="n"/>
    </row>
    <row r="2750">
      <c r="Q2750" s="62" t="n"/>
    </row>
    <row r="2751">
      <c r="Q2751" s="62" t="n"/>
    </row>
    <row r="2752">
      <c r="Q2752" s="62" t="n"/>
    </row>
    <row r="2753">
      <c r="Q2753" s="62" t="n"/>
    </row>
    <row r="2754">
      <c r="Q2754" s="62" t="n"/>
    </row>
    <row r="2755">
      <c r="Q2755" s="62" t="n"/>
    </row>
    <row r="2756">
      <c r="Q2756" s="62" t="n"/>
    </row>
    <row r="2757">
      <c r="Q2757" s="62" t="n"/>
    </row>
    <row r="2758">
      <c r="Q2758" s="62" t="n"/>
    </row>
    <row r="2759">
      <c r="Q2759" s="62" t="n"/>
    </row>
    <row r="2760">
      <c r="Q2760" s="62" t="n"/>
    </row>
    <row r="2761">
      <c r="Q2761" s="62" t="n"/>
    </row>
    <row r="2762">
      <c r="Q2762" s="62" t="n"/>
    </row>
    <row r="2763">
      <c r="Q2763" s="62" t="n"/>
    </row>
    <row r="2764">
      <c r="Q2764" s="62" t="n"/>
    </row>
    <row r="2765">
      <c r="Q2765" s="62" t="n"/>
    </row>
    <row r="2766">
      <c r="Q2766" s="62" t="n"/>
    </row>
    <row r="2767">
      <c r="Q2767" s="62" t="n"/>
    </row>
    <row r="2768">
      <c r="Q2768" s="62" t="n"/>
    </row>
    <row r="2769">
      <c r="Q2769" s="62" t="n"/>
    </row>
    <row r="2770">
      <c r="Q2770" s="62" t="n"/>
    </row>
    <row r="2771">
      <c r="Q2771" s="62" t="n"/>
    </row>
    <row r="2772">
      <c r="Q2772" s="62" t="n"/>
    </row>
    <row r="2773">
      <c r="Q2773" s="62" t="n"/>
    </row>
    <row r="2774">
      <c r="Q2774" s="62" t="n"/>
    </row>
    <row r="2775">
      <c r="Q2775" s="62" t="n"/>
    </row>
    <row r="2776">
      <c r="Q2776" s="62" t="n"/>
    </row>
    <row r="2777">
      <c r="Q2777" s="62" t="n"/>
    </row>
    <row r="2778">
      <c r="Q2778" s="62" t="n"/>
    </row>
    <row r="2779">
      <c r="Q2779" s="62" t="n"/>
    </row>
    <row r="2780">
      <c r="Q2780" s="62" t="n"/>
    </row>
    <row r="2781">
      <c r="Q2781" s="62" t="n"/>
    </row>
    <row r="2782">
      <c r="Q2782" s="62" t="n"/>
    </row>
    <row r="2783">
      <c r="Q2783" s="62" t="n"/>
    </row>
    <row r="2784">
      <c r="Q2784" s="62" t="n"/>
    </row>
    <row r="2785">
      <c r="Q2785" s="62" t="n"/>
    </row>
    <row r="2786">
      <c r="Q2786" s="62" t="n"/>
    </row>
    <row r="2787">
      <c r="Q2787" s="62" t="n"/>
    </row>
    <row r="2788">
      <c r="Q2788" s="62" t="n"/>
    </row>
    <row r="2789">
      <c r="Q2789" s="62" t="n"/>
    </row>
    <row r="2790">
      <c r="Q2790" s="62" t="n"/>
    </row>
    <row r="2791">
      <c r="Q2791" s="62" t="n"/>
    </row>
    <row r="2792">
      <c r="Q2792" s="62" t="n"/>
    </row>
    <row r="2793">
      <c r="Q2793" s="62" t="n"/>
    </row>
    <row r="2794">
      <c r="Q2794" s="62" t="n"/>
    </row>
    <row r="2795">
      <c r="Q2795" s="62" t="n"/>
    </row>
    <row r="2796">
      <c r="Q2796" s="62" t="n"/>
    </row>
    <row r="2797">
      <c r="Q2797" s="62" t="n"/>
    </row>
    <row r="2798">
      <c r="Q2798" s="62" t="n"/>
    </row>
    <row r="2799">
      <c r="Q2799" s="62" t="n"/>
    </row>
    <row r="2800">
      <c r="Q2800" s="62" t="n"/>
    </row>
    <row r="2801">
      <c r="Q2801" s="62" t="n"/>
    </row>
    <row r="2802">
      <c r="Q2802" s="62" t="n"/>
    </row>
    <row r="2803">
      <c r="Q2803" s="62" t="n"/>
    </row>
    <row r="2804">
      <c r="Q2804" s="62" t="n"/>
    </row>
    <row r="2805">
      <c r="Q2805" s="62" t="n"/>
    </row>
    <row r="2806">
      <c r="Q2806" s="62" t="n"/>
    </row>
    <row r="2807">
      <c r="Q2807" s="62" t="n"/>
    </row>
    <row r="2808">
      <c r="Q2808" s="62" t="n"/>
    </row>
    <row r="2809">
      <c r="Q2809" s="62" t="n"/>
    </row>
    <row r="2810">
      <c r="Q2810" s="62" t="n"/>
    </row>
    <row r="2811">
      <c r="Q2811" s="62" t="n"/>
    </row>
    <row r="2812">
      <c r="Q2812" s="62" t="n"/>
    </row>
    <row r="2813">
      <c r="Q2813" s="62" t="n"/>
    </row>
    <row r="2814">
      <c r="Q2814" s="62" t="n"/>
    </row>
    <row r="2815">
      <c r="Q2815" s="62" t="n"/>
    </row>
    <row r="2816">
      <c r="Q2816" s="62" t="n"/>
    </row>
    <row r="2817">
      <c r="Q2817" s="62" t="n"/>
    </row>
    <row r="2818">
      <c r="Q2818" s="62" t="n"/>
    </row>
    <row r="2819">
      <c r="Q2819" s="62" t="n"/>
    </row>
    <row r="2820">
      <c r="Q2820" s="62" t="n"/>
    </row>
    <row r="2821">
      <c r="Q2821" s="62" t="n"/>
    </row>
    <row r="2822">
      <c r="Q2822" s="62" t="n"/>
    </row>
    <row r="2823">
      <c r="Q2823" s="62" t="n"/>
    </row>
    <row r="2824">
      <c r="Q2824" s="62" t="n"/>
    </row>
    <row r="2825">
      <c r="Q2825" s="62" t="n"/>
    </row>
    <row r="2826">
      <c r="Q2826" s="62" t="n"/>
    </row>
    <row r="2827">
      <c r="Q2827" s="62" t="n"/>
    </row>
    <row r="2828">
      <c r="Q2828" s="62" t="n"/>
    </row>
    <row r="2829">
      <c r="Q2829" s="62" t="n"/>
    </row>
    <row r="2830">
      <c r="Q2830" s="62" t="n"/>
    </row>
    <row r="2831">
      <c r="Q2831" s="62" t="n"/>
    </row>
    <row r="2832">
      <c r="Q2832" s="62" t="n"/>
    </row>
    <row r="2833">
      <c r="Q2833" s="62" t="n"/>
    </row>
    <row r="2834">
      <c r="Q2834" s="62" t="n"/>
    </row>
    <row r="2835">
      <c r="Q2835" s="62" t="n"/>
    </row>
    <row r="2836">
      <c r="Q2836" s="62" t="n"/>
    </row>
    <row r="2837">
      <c r="Q2837" s="62" t="n"/>
    </row>
    <row r="2838">
      <c r="Q2838" s="62" t="n"/>
    </row>
    <row r="2839">
      <c r="Q2839" s="62" t="n"/>
    </row>
    <row r="2840">
      <c r="Q2840" s="62" t="n"/>
    </row>
    <row r="2841">
      <c r="Q2841" s="62" t="n"/>
    </row>
    <row r="2842">
      <c r="Q2842" s="62" t="n"/>
    </row>
    <row r="2843">
      <c r="Q2843" s="62" t="n"/>
    </row>
    <row r="2844">
      <c r="Q2844" s="62" t="n"/>
    </row>
    <row r="2845">
      <c r="Q2845" s="62" t="n"/>
    </row>
    <row r="2846">
      <c r="Q2846" s="62" t="n"/>
    </row>
    <row r="2847">
      <c r="Q2847" s="62" t="n"/>
    </row>
    <row r="2848">
      <c r="Q2848" s="62" t="n"/>
    </row>
    <row r="2849">
      <c r="Q2849" s="62" t="n"/>
    </row>
    <row r="2850">
      <c r="Q2850" s="62" t="n"/>
    </row>
    <row r="2851">
      <c r="Q2851" s="62" t="n"/>
    </row>
    <row r="2852">
      <c r="Q2852" s="62" t="n"/>
    </row>
    <row r="2853">
      <c r="Q2853" s="62" t="n"/>
    </row>
    <row r="2854">
      <c r="Q2854" s="62" t="n"/>
    </row>
    <row r="2855">
      <c r="Q2855" s="62" t="n"/>
    </row>
    <row r="2856">
      <c r="Q2856" s="62" t="n"/>
    </row>
    <row r="2857">
      <c r="Q2857" s="62" t="n"/>
    </row>
    <row r="2858">
      <c r="Q2858" s="62" t="n"/>
    </row>
    <row r="2859">
      <c r="Q2859" s="62" t="n"/>
    </row>
    <row r="2860">
      <c r="Q2860" s="62" t="n"/>
    </row>
    <row r="2861">
      <c r="Q2861" s="62" t="n"/>
    </row>
    <row r="2862">
      <c r="Q2862" s="62" t="n"/>
    </row>
    <row r="2863">
      <c r="Q2863" s="62" t="n"/>
    </row>
    <row r="2864">
      <c r="Q2864" s="62" t="n"/>
    </row>
    <row r="2865">
      <c r="Q2865" s="62" t="n"/>
    </row>
    <row r="2866">
      <c r="Q2866" s="62" t="n"/>
    </row>
    <row r="2867">
      <c r="Q2867" s="62" t="n"/>
    </row>
    <row r="2868">
      <c r="Q2868" s="62" t="n"/>
    </row>
    <row r="2869">
      <c r="Q2869" s="62" t="n"/>
    </row>
    <row r="2870">
      <c r="Q2870" s="62" t="n"/>
    </row>
    <row r="2871">
      <c r="Q2871" s="62" t="n"/>
    </row>
    <row r="2872">
      <c r="Q2872" s="62" t="n"/>
    </row>
    <row r="2873">
      <c r="Q2873" s="62" t="n"/>
    </row>
    <row r="2874">
      <c r="Q2874" s="62" t="n"/>
    </row>
    <row r="2875">
      <c r="Q2875" s="62" t="n"/>
    </row>
    <row r="2876">
      <c r="Q2876" s="62" t="n"/>
    </row>
    <row r="2877">
      <c r="Q2877" s="62" t="n"/>
    </row>
    <row r="2878">
      <c r="Q2878" s="62" t="n"/>
    </row>
    <row r="2879">
      <c r="Q2879" s="62" t="n"/>
    </row>
    <row r="2880">
      <c r="Q2880" s="62" t="n"/>
    </row>
    <row r="2881">
      <c r="Q2881" s="62" t="n"/>
    </row>
    <row r="2882">
      <c r="Q2882" s="62" t="n"/>
    </row>
    <row r="2883">
      <c r="Q2883" s="62" t="n"/>
    </row>
    <row r="2884">
      <c r="Q2884" s="62" t="n"/>
    </row>
    <row r="2885">
      <c r="Q2885" s="62" t="n"/>
    </row>
    <row r="2886">
      <c r="Q2886" s="62" t="n"/>
    </row>
    <row r="2887">
      <c r="Q2887" s="62" t="n"/>
    </row>
    <row r="2888">
      <c r="Q2888" s="62" t="n"/>
    </row>
    <row r="2889">
      <c r="Q2889" s="62" t="n"/>
    </row>
    <row r="2890">
      <c r="Q2890" s="62" t="n"/>
    </row>
    <row r="2891">
      <c r="Q2891" s="62" t="n"/>
    </row>
    <row r="2892">
      <c r="Q2892" s="62" t="n"/>
    </row>
    <row r="2893">
      <c r="Q2893" s="62" t="n"/>
    </row>
    <row r="2894">
      <c r="Q2894" s="62" t="n"/>
    </row>
    <row r="2895">
      <c r="Q2895" s="62" t="n"/>
    </row>
    <row r="2896">
      <c r="Q2896" s="62" t="n"/>
    </row>
    <row r="2897">
      <c r="Q2897" s="62" t="n"/>
    </row>
    <row r="2898">
      <c r="Q2898" s="62" t="n"/>
    </row>
    <row r="2899">
      <c r="Q2899" s="62" t="n"/>
    </row>
    <row r="2900">
      <c r="Q2900" s="62" t="n"/>
    </row>
    <row r="2901">
      <c r="Q2901" s="62" t="n"/>
    </row>
    <row r="2902">
      <c r="Q2902" s="62" t="n"/>
    </row>
    <row r="2903">
      <c r="Q2903" s="62" t="n"/>
    </row>
    <row r="2904">
      <c r="Q2904" s="62" t="n"/>
    </row>
    <row r="2905">
      <c r="Q2905" s="62" t="n"/>
    </row>
    <row r="2906">
      <c r="Q2906" s="62" t="n"/>
    </row>
    <row r="2907">
      <c r="Q2907" s="62" t="n"/>
    </row>
    <row r="2908">
      <c r="Q2908" s="62" t="n"/>
    </row>
    <row r="2909">
      <c r="Q2909" s="62" t="n"/>
    </row>
    <row r="2910">
      <c r="Q2910" s="62" t="n"/>
    </row>
    <row r="2911">
      <c r="Q2911" s="62" t="n"/>
    </row>
    <row r="2912">
      <c r="Q2912" s="62" t="n"/>
    </row>
    <row r="2913">
      <c r="Q2913" s="62" t="n"/>
    </row>
    <row r="2914">
      <c r="Q2914" s="62" t="n"/>
    </row>
    <row r="2915">
      <c r="Q2915" s="62" t="n"/>
    </row>
    <row r="2916">
      <c r="Q2916" s="62" t="n"/>
    </row>
    <row r="2917">
      <c r="Q2917" s="62" t="n"/>
    </row>
    <row r="2918">
      <c r="Q2918" s="62" t="n"/>
    </row>
    <row r="2919">
      <c r="Q2919" s="62" t="n"/>
    </row>
    <row r="2920">
      <c r="Q2920" s="62" t="n"/>
    </row>
    <row r="2921">
      <c r="Q2921" s="62" t="n"/>
    </row>
    <row r="2922">
      <c r="Q2922" s="62" t="n"/>
    </row>
    <row r="2923">
      <c r="Q2923" s="62" t="n"/>
    </row>
    <row r="2924">
      <c r="Q2924" s="62" t="n"/>
    </row>
    <row r="2925">
      <c r="Q2925" s="62" t="n"/>
    </row>
    <row r="2926">
      <c r="Q2926" s="62" t="n"/>
    </row>
    <row r="2927">
      <c r="Q2927" s="62" t="n"/>
    </row>
    <row r="2928">
      <c r="Q2928" s="62" t="n"/>
    </row>
    <row r="2929">
      <c r="Q2929" s="62" t="n"/>
    </row>
    <row r="2930">
      <c r="Q2930" s="62" t="n"/>
    </row>
    <row r="2931">
      <c r="Q2931" s="62" t="n"/>
    </row>
    <row r="2932">
      <c r="Q2932" s="62" t="n"/>
    </row>
    <row r="2933">
      <c r="Q2933" s="62" t="n"/>
    </row>
    <row r="2934">
      <c r="Q2934" s="62" t="n"/>
    </row>
    <row r="2935">
      <c r="Q2935" s="62" t="n"/>
    </row>
    <row r="2936">
      <c r="Q2936" s="62" t="n"/>
    </row>
    <row r="2937">
      <c r="Q2937" s="62" t="n"/>
    </row>
    <row r="2938">
      <c r="Q2938" s="62" t="n"/>
    </row>
    <row r="2939">
      <c r="Q2939" s="62" t="n"/>
    </row>
    <row r="2940">
      <c r="Q2940" s="62" t="n"/>
    </row>
    <row r="2941">
      <c r="Q2941" s="62" t="n"/>
    </row>
    <row r="2942">
      <c r="Q2942" s="62" t="n"/>
    </row>
    <row r="2943">
      <c r="Q2943" s="62" t="n"/>
    </row>
    <row r="2944">
      <c r="Q2944" s="62" t="n"/>
    </row>
    <row r="2945">
      <c r="Q2945" s="62" t="n"/>
    </row>
    <row r="2946">
      <c r="Q2946" s="62" t="n"/>
    </row>
    <row r="2947">
      <c r="Q2947" s="62" t="n"/>
    </row>
    <row r="2948">
      <c r="Q2948" s="62" t="n"/>
    </row>
    <row r="2949">
      <c r="Q2949" s="62" t="n"/>
    </row>
    <row r="2950">
      <c r="Q2950" s="62" t="n"/>
    </row>
    <row r="2951">
      <c r="Q2951" s="62" t="n"/>
    </row>
    <row r="2952">
      <c r="Q2952" s="62" t="n"/>
    </row>
    <row r="2953">
      <c r="Q2953" s="62" t="n"/>
    </row>
    <row r="2954">
      <c r="Q2954" s="62" t="n"/>
    </row>
    <row r="2955">
      <c r="Q2955" s="62" t="n"/>
    </row>
    <row r="2956">
      <c r="Q2956" s="62" t="n"/>
    </row>
    <row r="2957">
      <c r="Q2957" s="62" t="n"/>
    </row>
    <row r="2958">
      <c r="Q2958" s="62" t="n"/>
    </row>
    <row r="2959">
      <c r="Q2959" s="62" t="n"/>
    </row>
    <row r="2960">
      <c r="Q2960" s="62" t="n"/>
    </row>
    <row r="2961">
      <c r="Q2961" s="62" t="n"/>
    </row>
    <row r="2962">
      <c r="Q2962" s="62" t="n"/>
    </row>
    <row r="2963">
      <c r="Q2963" s="62" t="n"/>
    </row>
    <row r="2964">
      <c r="Q2964" s="62" t="n"/>
    </row>
    <row r="2965">
      <c r="Q2965" s="62" t="n"/>
    </row>
    <row r="2966">
      <c r="Q2966" s="62" t="n"/>
    </row>
    <row r="2967">
      <c r="Q2967" s="62" t="n"/>
    </row>
    <row r="2968">
      <c r="Q2968" s="62" t="n"/>
    </row>
    <row r="2969">
      <c r="Q2969" s="62" t="n"/>
    </row>
    <row r="2970">
      <c r="Q2970" s="62" t="n"/>
    </row>
    <row r="2971">
      <c r="Q2971" s="62" t="n"/>
    </row>
    <row r="2972">
      <c r="Q2972" s="62" t="n"/>
    </row>
    <row r="2973">
      <c r="Q2973" s="62" t="n"/>
    </row>
    <row r="2974">
      <c r="Q2974" s="62" t="n"/>
    </row>
    <row r="2975">
      <c r="Q2975" s="62" t="n"/>
    </row>
    <row r="2976">
      <c r="Q2976" s="62" t="n"/>
    </row>
    <row r="2977">
      <c r="Q2977" s="62" t="n"/>
    </row>
    <row r="2978">
      <c r="Q2978" s="62" t="n"/>
    </row>
    <row r="2979">
      <c r="Q2979" s="62" t="n"/>
    </row>
    <row r="2980">
      <c r="Q2980" s="62" t="n"/>
    </row>
    <row r="2981">
      <c r="Q2981" s="62" t="n"/>
    </row>
    <row r="2982">
      <c r="Q2982" s="62" t="n"/>
    </row>
    <row r="2983">
      <c r="Q2983" s="62" t="n"/>
    </row>
    <row r="2984">
      <c r="Q2984" s="62" t="n"/>
    </row>
    <row r="2985">
      <c r="Q2985" s="62" t="n"/>
    </row>
    <row r="2986">
      <c r="Q2986" s="62" t="n"/>
    </row>
    <row r="2987">
      <c r="Q2987" s="62" t="n"/>
    </row>
    <row r="2988">
      <c r="Q2988" s="62" t="n"/>
    </row>
    <row r="2989">
      <c r="Q2989" s="62" t="n"/>
    </row>
    <row r="2990">
      <c r="Q2990" s="62" t="n"/>
    </row>
    <row r="2991">
      <c r="Q2991" s="62" t="n"/>
    </row>
    <row r="2992">
      <c r="Q2992" s="62" t="n"/>
    </row>
    <row r="2993">
      <c r="Q2993" s="62" t="n"/>
    </row>
    <row r="2994">
      <c r="Q2994" s="62" t="n"/>
    </row>
    <row r="2995">
      <c r="Q2995" s="62" t="n"/>
    </row>
    <row r="2996">
      <c r="Q2996" s="62" t="n"/>
    </row>
    <row r="2997">
      <c r="Q2997" s="62" t="n"/>
    </row>
    <row r="2998">
      <c r="Q2998" s="62" t="n"/>
    </row>
    <row r="2999">
      <c r="Q2999" s="62" t="n"/>
    </row>
    <row r="3000">
      <c r="Q3000" s="62" t="n"/>
    </row>
  </sheetData>
  <conditionalFormatting sqref="J1:J1048576">
    <cfRule type="expression" priority="1" dxfId="5">
      <formula>J1048465&gt;K1048465</formula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C4752"/>
  <sheetViews>
    <sheetView workbookViewId="0">
      <selection activeCell="K24" sqref="K24"/>
    </sheetView>
  </sheetViews>
  <sheetFormatPr baseColWidth="8" defaultColWidth="5" defaultRowHeight="12.75"/>
  <cols>
    <col width="13.28515625" bestFit="1" customWidth="1" style="90" min="1" max="1"/>
    <col width="4.28515625" bestFit="1" customWidth="1" style="82" min="2" max="2"/>
    <col width="10.28515625" bestFit="1" customWidth="1" style="82" min="3" max="3"/>
    <col width="35.28515625" bestFit="1" customWidth="1" style="82" min="4" max="4"/>
    <col width="10.7109375" bestFit="1" customWidth="1" style="90" min="5" max="5"/>
    <col width="12" bestFit="1" customWidth="1" style="82" min="6" max="6"/>
    <col width="10.7109375" bestFit="1" customWidth="1" style="82" min="7" max="7"/>
    <col width="5.140625" bestFit="1" customWidth="1" style="82" min="8" max="8"/>
    <col width="4.85546875" bestFit="1" customWidth="1" style="82" min="9" max="9"/>
    <col width="17.5703125" bestFit="1" customWidth="1" style="82" min="10" max="10"/>
    <col width="12.42578125" bestFit="1" customWidth="1" style="82" min="11" max="11"/>
    <col width="17.5703125" bestFit="1" customWidth="1" style="82" min="12" max="12"/>
    <col width="4.5703125" bestFit="1" customWidth="1" style="82" min="13" max="14"/>
    <col width="12" bestFit="1" customWidth="1" style="89" min="15" max="15"/>
    <col width="7" bestFit="1" customWidth="1" style="82" min="16" max="16"/>
    <col width="8.28515625" bestFit="1" customWidth="1" style="82" min="17" max="17"/>
    <col width="22.28515625" customWidth="1" style="82" min="18" max="18"/>
    <col width="43.140625" customWidth="1" style="82" min="19" max="19"/>
    <col width="5" customWidth="1" style="82" min="20" max="20"/>
    <col width="8.140625" bestFit="1" customWidth="1" style="82" min="21" max="21"/>
    <col width="34.28515625" customWidth="1" style="82" min="22" max="22"/>
    <col width="20.5703125" customWidth="1" style="82" min="23" max="23"/>
    <col width="5" customWidth="1" style="82" min="24" max="28"/>
    <col width="10.42578125" bestFit="1" customWidth="1" style="82" min="29" max="29"/>
    <col width="8.140625" bestFit="1" customWidth="1" style="82" min="30" max="30"/>
    <col width="5" customWidth="1" style="82" min="31" max="16384"/>
  </cols>
  <sheetData>
    <row r="1" ht="142.5" customFormat="1" customHeight="1" s="77">
      <c r="A1" s="71" t="inlineStr">
        <is>
          <t>NAME</t>
        </is>
      </c>
      <c r="B1" s="71" t="inlineStr">
        <is>
          <t>ABSENT</t>
        </is>
      </c>
      <c r="C1" s="72" t="inlineStr">
        <is>
          <t>EIN</t>
        </is>
      </c>
      <c r="D1" s="71" t="inlineStr">
        <is>
          <t>COURSE NAME:</t>
        </is>
      </c>
      <c r="E1" s="73" t="inlineStr">
        <is>
          <t>COURSE START DATE:</t>
        </is>
      </c>
      <c r="F1" s="73" t="inlineStr">
        <is>
          <t>TODAY'S DATE</t>
        </is>
      </c>
      <c r="G1" s="73" t="inlineStr">
        <is>
          <t>COURSE END DATE</t>
        </is>
      </c>
      <c r="H1" s="71" t="inlineStr">
        <is>
          <t>CREDIT HOURS/DAY</t>
        </is>
      </c>
      <c r="I1" s="71" t="inlineStr">
        <is>
          <t>CREDIT HOURS EARNED</t>
        </is>
      </c>
      <c r="J1" s="71" t="inlineStr">
        <is>
          <t>INSTRUCTOR 1</t>
        </is>
      </c>
      <c r="K1" s="71" t="inlineStr">
        <is>
          <t>INSTRUCTOR 2</t>
        </is>
      </c>
      <c r="L1" s="71" t="inlineStr">
        <is>
          <t>INSTRUCTOR 3</t>
        </is>
      </c>
      <c r="M1" s="71" t="inlineStr">
        <is>
          <t>INSTRUCTOR 4</t>
        </is>
      </c>
      <c r="N1" s="71" t="inlineStr">
        <is>
          <t>LOGGED BY</t>
        </is>
      </c>
      <c r="O1" s="71" t="inlineStr">
        <is>
          <t>LOGGED DATE</t>
        </is>
      </c>
      <c r="P1" s="74" t="inlineStr">
        <is>
          <t>Attrition</t>
        </is>
      </c>
      <c r="Q1" s="74" t="inlineStr">
        <is>
          <t>Department</t>
        </is>
      </c>
      <c r="R1" s="74" t="inlineStr">
        <is>
          <t>Column1</t>
        </is>
      </c>
      <c r="S1" s="76" t="n"/>
      <c r="T1" s="75" t="n"/>
      <c r="V1" s="77" t="inlineStr">
        <is>
          <t>ACTIVE PTSP</t>
        </is>
      </c>
      <c r="W1" s="77" t="inlineStr">
        <is>
          <t>Lead Instructor Credit</t>
        </is>
      </c>
    </row>
    <row r="2" ht="16.5" customHeight="1">
      <c r="A2" s="78">
        <f t="array" ref="A2:S2">_xlfn._xlws.FILTER(Train_Log[],Train_Log[NAME] = Dashboard!B4,"not found")</f>
        <v/>
      </c>
      <c r="B2" s="78" t="inlineStr">
        <is>
          <t>No</t>
        </is>
      </c>
      <c r="C2" s="78" t="n">
        <v>0</v>
      </c>
      <c r="D2" s="78" t="inlineStr">
        <is>
          <t>RTR - EFORM SEPARATIONS TRAINING</t>
        </is>
      </c>
      <c r="E2" s="79" t="n">
        <v>45554</v>
      </c>
      <c r="F2" s="79" t="n">
        <v>45554</v>
      </c>
      <c r="G2" s="79" t="n">
        <v>45554</v>
      </c>
      <c r="H2" s="78" t="n">
        <v>3</v>
      </c>
      <c r="I2" s="78" t="n">
        <v>3</v>
      </c>
      <c r="J2" s="78" t="inlineStr">
        <is>
          <t>TR 4</t>
        </is>
      </c>
      <c r="K2" s="78" t="inlineStr">
        <is>
          <t>--</t>
        </is>
      </c>
      <c r="L2" s="78" t="inlineStr">
        <is>
          <t>--</t>
        </is>
      </c>
      <c r="M2" s="78" t="inlineStr">
        <is>
          <t>--</t>
        </is>
      </c>
      <c r="N2" s="78" t="inlineStr">
        <is>
          <t>JJH</t>
        </is>
      </c>
      <c r="O2" s="79" t="n">
        <v>0</v>
      </c>
      <c r="P2" s="80" t="n">
        <v>0</v>
      </c>
      <c r="Q2" s="78" t="inlineStr">
        <is>
          <t>RTR</t>
        </is>
      </c>
      <c r="R2" s="81" t="inlineStr">
        <is>
          <t xml:space="preserve"> - EFORM SEPA</t>
        </is>
      </c>
      <c r="S2" s="78" t="inlineStr">
        <is>
          <t>EFORM SEPARATIONS TRAINING_20240919_20240919</t>
        </is>
      </c>
      <c r="V2" s="83" t="inlineStr">
        <is>
          <t>JENNETTE, ROLAND</t>
        </is>
      </c>
      <c r="W2" s="84">
        <f>COUNTIFS(Train_Log[INSTRUCTOR 1], V2,Train_Log[Code], "&lt;&gt;" &amp;"")</f>
        <v/>
      </c>
    </row>
    <row r="3">
      <c r="A3" s="78" t="n"/>
      <c r="B3" s="78" t="n"/>
      <c r="C3" s="78" t="n"/>
      <c r="D3" s="78" t="n"/>
      <c r="E3" s="79" t="n"/>
      <c r="F3" s="79" t="n"/>
      <c r="G3" s="79" t="n"/>
      <c r="H3" s="78" t="n"/>
      <c r="I3" s="78" t="n"/>
      <c r="J3" s="78" t="n"/>
      <c r="K3" s="78" t="n"/>
      <c r="L3" s="78" t="n"/>
      <c r="M3" s="78" t="n"/>
      <c r="N3" s="78" t="n"/>
      <c r="O3" s="79" t="n"/>
      <c r="P3" s="80" t="n"/>
      <c r="Q3" s="78" t="n"/>
      <c r="R3" s="81" t="n"/>
      <c r="S3" s="78" t="n"/>
      <c r="V3" s="85" t="inlineStr">
        <is>
          <t>FALKNER, GREGORY</t>
        </is>
      </c>
      <c r="W3" s="85">
        <f>COUNTIFS(Train_Log[INSTRUCTOR 1], V3,Train_Log[Code], "&lt;&gt;" &amp;"")</f>
        <v/>
      </c>
      <c r="AC3" s="86" t="n"/>
    </row>
    <row r="4">
      <c r="A4" s="78" t="n"/>
      <c r="B4" s="78" t="n"/>
      <c r="C4" s="78" t="n"/>
      <c r="D4" s="78" t="n"/>
      <c r="E4" s="79" t="n"/>
      <c r="F4" s="79" t="n"/>
      <c r="G4" s="79" t="n"/>
      <c r="H4" s="78" t="n"/>
      <c r="I4" s="78" t="n"/>
      <c r="J4" s="78" t="n"/>
      <c r="K4" s="78" t="n"/>
      <c r="L4" s="78" t="n"/>
      <c r="M4" s="78" t="n"/>
      <c r="N4" s="78" t="n"/>
      <c r="O4" s="79" t="n"/>
      <c r="P4" s="80" t="n"/>
      <c r="Q4" s="78" t="n"/>
      <c r="R4" s="81" t="n"/>
      <c r="S4" s="78" t="n"/>
      <c r="V4" s="85" t="inlineStr">
        <is>
          <t>QUINLAN, FIONA</t>
        </is>
      </c>
      <c r="W4" s="85">
        <f>COUNTIFS(Train_Log[INSTRUCTOR 1], V4,Train_Log[Code], "&lt;&gt;" &amp;"")</f>
        <v/>
      </c>
    </row>
    <row r="5">
      <c r="A5" s="78" t="n"/>
      <c r="B5" s="78" t="n"/>
      <c r="C5" s="78" t="n"/>
      <c r="D5" s="78" t="n"/>
      <c r="E5" s="79" t="n"/>
      <c r="F5" s="79" t="n"/>
      <c r="G5" s="79" t="n"/>
      <c r="H5" s="78" t="n"/>
      <c r="I5" s="78" t="n"/>
      <c r="J5" s="78" t="n"/>
      <c r="K5" s="78" t="n"/>
      <c r="L5" s="78" t="n"/>
      <c r="M5" s="78" t="n"/>
      <c r="N5" s="78" t="n"/>
      <c r="O5" s="79" t="n"/>
      <c r="P5" s="80" t="n"/>
      <c r="Q5" s="78" t="n"/>
      <c r="R5" s="81" t="n"/>
      <c r="S5" s="78" t="n"/>
      <c r="V5" s="85" t="inlineStr">
        <is>
          <t>ABERNATHY, TRAVIS</t>
        </is>
      </c>
      <c r="W5" s="85">
        <f>COUNTIFS(Train_Log[INSTRUCTOR 1], V5,Train_Log[Code], "&lt;&gt;" &amp;"")</f>
        <v/>
      </c>
    </row>
    <row r="6">
      <c r="A6" s="78" t="n"/>
      <c r="B6" s="78" t="n"/>
      <c r="C6" s="78" t="n"/>
      <c r="D6" s="78" t="n"/>
      <c r="E6" s="79" t="n"/>
      <c r="F6" s="79" t="n"/>
      <c r="G6" s="79" t="n"/>
      <c r="H6" s="78" t="n"/>
      <c r="I6" s="78" t="n"/>
      <c r="J6" s="78" t="n"/>
      <c r="K6" s="78" t="n"/>
      <c r="L6" s="78" t="n"/>
      <c r="M6" s="78" t="n"/>
      <c r="N6" s="78" t="n"/>
      <c r="O6" s="79" t="n"/>
      <c r="P6" s="80" t="n"/>
      <c r="Q6" s="78" t="n"/>
      <c r="R6" s="81" t="n"/>
      <c r="S6" s="78" t="n"/>
      <c r="V6" s="85" t="inlineStr">
        <is>
          <t>COLVARD, MARCUS</t>
        </is>
      </c>
      <c r="W6" s="85">
        <f>COUNTIFS(Train_Log[INSTRUCTOR 1], V6,Train_Log[Code], "&lt;&gt;" &amp;"")</f>
        <v/>
      </c>
    </row>
    <row r="7">
      <c r="A7" s="78" t="n"/>
      <c r="B7" s="78" t="n"/>
      <c r="C7" s="78" t="n"/>
      <c r="D7" s="78" t="n"/>
      <c r="E7" s="79" t="n"/>
      <c r="F7" s="79" t="n"/>
      <c r="G7" s="79" t="n"/>
      <c r="H7" s="78" t="n"/>
      <c r="I7" s="78" t="n"/>
      <c r="J7" s="78" t="n"/>
      <c r="K7" s="78" t="n"/>
      <c r="L7" s="78" t="n"/>
      <c r="M7" s="78" t="n"/>
      <c r="N7" s="78" t="n"/>
      <c r="O7" s="79" t="n"/>
      <c r="P7" s="80" t="n"/>
      <c r="Q7" s="78" t="n"/>
      <c r="R7" s="81" t="n"/>
      <c r="S7" s="78" t="n"/>
      <c r="V7" s="85" t="inlineStr">
        <is>
          <t>DELACROIX, RENEE</t>
        </is>
      </c>
      <c r="W7" s="85">
        <f>COUNTIFS(Train_Log[INSTRUCTOR 1], V7,Train_Log[Code], "&lt;&gt;" &amp;"")</f>
        <v/>
      </c>
    </row>
    <row r="8">
      <c r="A8" s="78" t="n"/>
      <c r="B8" s="78" t="n"/>
      <c r="C8" s="78" t="n"/>
      <c r="D8" s="78" t="n"/>
      <c r="E8" s="79" t="n"/>
      <c r="F8" s="79" t="n"/>
      <c r="G8" s="79" t="n"/>
      <c r="H8" s="78" t="n"/>
      <c r="I8" s="78" t="n"/>
      <c r="J8" s="78" t="n"/>
      <c r="K8" s="78" t="n"/>
      <c r="L8" s="78" t="n"/>
      <c r="M8" s="78" t="n"/>
      <c r="N8" s="78" t="n"/>
      <c r="O8" s="79" t="n"/>
      <c r="P8" s="80" t="n"/>
      <c r="Q8" s="78" t="n"/>
      <c r="R8" s="81" t="n"/>
      <c r="S8" s="78" t="n"/>
      <c r="V8" s="85" t="inlineStr">
        <is>
          <t>SOUTHERLAND, GRACE</t>
        </is>
      </c>
      <c r="W8" s="85">
        <f>COUNTIFS(Train_Log[INSTRUCTOR 1], V8,Train_Log[Code], "&lt;&gt;" &amp;"")</f>
        <v/>
      </c>
    </row>
    <row r="9">
      <c r="A9" s="78" t="n"/>
      <c r="B9" s="78" t="n"/>
      <c r="C9" s="78" t="n"/>
      <c r="D9" s="78" t="n"/>
      <c r="E9" s="79" t="n"/>
      <c r="F9" s="79" t="n"/>
      <c r="G9" s="79" t="n"/>
      <c r="H9" s="78" t="n"/>
      <c r="I9" s="78" t="n"/>
      <c r="J9" s="78" t="n"/>
      <c r="K9" s="78" t="n"/>
      <c r="L9" s="78" t="n"/>
      <c r="M9" s="78" t="n"/>
      <c r="N9" s="78" t="n"/>
      <c r="O9" s="79" t="n"/>
      <c r="P9" s="80" t="n"/>
      <c r="Q9" s="78" t="n"/>
      <c r="R9" s="81" t="n"/>
      <c r="S9" s="78" t="n"/>
      <c r="V9" s="85" t="inlineStr">
        <is>
          <t>CASTELLANO, HUGO</t>
        </is>
      </c>
      <c r="W9" s="85">
        <f>COUNTIFS(Train_Log[INSTRUCTOR 1], V9,Train_Log[Code], "&lt;&gt;" &amp;"")</f>
        <v/>
      </c>
    </row>
    <row r="10">
      <c r="A10" s="78" t="n"/>
      <c r="B10" s="78" t="n"/>
      <c r="C10" s="78" t="n"/>
      <c r="D10" s="78" t="n"/>
      <c r="E10" s="79" t="n"/>
      <c r="F10" s="79" t="n"/>
      <c r="G10" s="79" t="n"/>
      <c r="H10" s="78" t="n"/>
      <c r="I10" s="78" t="n"/>
      <c r="J10" s="78" t="n"/>
      <c r="K10" s="78" t="n"/>
      <c r="L10" s="78" t="n"/>
      <c r="M10" s="78" t="n"/>
      <c r="N10" s="78" t="n"/>
      <c r="O10" s="79" t="n"/>
      <c r="P10" s="80" t="n"/>
      <c r="Q10" s="78" t="n"/>
      <c r="R10" s="81" t="n"/>
      <c r="S10" s="78" t="n"/>
      <c r="V10" s="85" t="inlineStr">
        <is>
          <t>ASHWORTH, DANA</t>
        </is>
      </c>
      <c r="W10" s="85">
        <f>COUNTIFS(Train_Log[INSTRUCTOR 1], V10,Train_Log[Code], "&lt;&gt;" &amp;"")</f>
        <v/>
      </c>
    </row>
    <row r="11">
      <c r="A11" s="78" t="n"/>
      <c r="B11" s="78" t="n"/>
      <c r="C11" s="78" t="n"/>
      <c r="D11" s="78" t="n"/>
      <c r="E11" s="79" t="n"/>
      <c r="F11" s="79" t="n"/>
      <c r="G11" s="79" t="n"/>
      <c r="H11" s="78" t="n"/>
      <c r="I11" s="78" t="n"/>
      <c r="J11" s="78" t="n"/>
      <c r="K11" s="78" t="n"/>
      <c r="L11" s="78" t="n"/>
      <c r="M11" s="78" t="n"/>
      <c r="N11" s="78" t="n"/>
      <c r="O11" s="79" t="n"/>
      <c r="P11" s="80" t="n"/>
      <c r="Q11" s="78" t="n"/>
      <c r="R11" s="81" t="n"/>
      <c r="S11" s="78" t="n"/>
      <c r="V11" s="85" t="inlineStr">
        <is>
          <t>RASMUSSEN, DEVIN</t>
        </is>
      </c>
      <c r="W11" s="85">
        <f>COUNTIFS(Train_Log[INSTRUCTOR 1], V11,Train_Log[Code], "&lt;&gt;" &amp;"")</f>
        <v/>
      </c>
    </row>
    <row r="12">
      <c r="A12" s="78" t="n"/>
      <c r="B12" s="78" t="n"/>
      <c r="C12" s="78" t="n"/>
      <c r="D12" s="78" t="n"/>
      <c r="E12" s="79" t="n"/>
      <c r="F12" s="79" t="n"/>
      <c r="G12" s="79" t="n"/>
      <c r="H12" s="78" t="n"/>
      <c r="I12" s="78" t="n"/>
      <c r="J12" s="78" t="n"/>
      <c r="K12" s="78" t="n"/>
      <c r="L12" s="78" t="n"/>
      <c r="M12" s="78" t="n"/>
      <c r="N12" s="78" t="n"/>
      <c r="O12" s="79" t="n"/>
      <c r="P12" s="80" t="n"/>
      <c r="Q12" s="78" t="n"/>
      <c r="R12" s="81" t="n"/>
      <c r="S12" s="78" t="n"/>
      <c r="V12" s="85" t="inlineStr">
        <is>
          <t>KILBRIDE, MONICA</t>
        </is>
      </c>
      <c r="W12" s="85">
        <f>COUNTIFS(Train_Log[INSTRUCTOR 1], V12,Train_Log[Code], "&lt;&gt;" &amp;"")</f>
        <v/>
      </c>
    </row>
    <row r="13">
      <c r="A13" s="78" t="n"/>
      <c r="B13" s="78" t="n"/>
      <c r="C13" s="78" t="n"/>
      <c r="D13" s="78" t="n"/>
      <c r="E13" s="79" t="n"/>
      <c r="F13" s="79" t="n"/>
      <c r="G13" s="79" t="n"/>
      <c r="H13" s="78" t="n"/>
      <c r="I13" s="78" t="n"/>
      <c r="J13" s="78" t="n"/>
      <c r="K13" s="78" t="n"/>
      <c r="L13" s="78" t="n"/>
      <c r="M13" s="78" t="n"/>
      <c r="N13" s="78" t="n"/>
      <c r="O13" s="79" t="n"/>
      <c r="P13" s="80" t="n"/>
      <c r="Q13" s="78" t="n"/>
      <c r="R13" s="81" t="n"/>
      <c r="S13" s="78" t="n"/>
      <c r="V13" s="85" t="inlineStr">
        <is>
          <t>OSEI, BRIDGET</t>
        </is>
      </c>
      <c r="W13" s="85">
        <f>COUNTIFS(Train_Log[INSTRUCTOR 1], V13,Train_Log[Code], "&lt;&gt;" &amp;"")</f>
        <v/>
      </c>
    </row>
    <row r="14">
      <c r="A14" s="78" t="n"/>
      <c r="B14" s="78" t="n"/>
      <c r="C14" s="78" t="n"/>
      <c r="D14" s="78" t="n"/>
      <c r="E14" s="79" t="n"/>
      <c r="F14" s="79" t="n"/>
      <c r="G14" s="79" t="n"/>
      <c r="H14" s="78" t="n"/>
      <c r="I14" s="78" t="n"/>
      <c r="J14" s="78" t="n"/>
      <c r="K14" s="78" t="n"/>
      <c r="L14" s="78" t="n"/>
      <c r="M14" s="78" t="n"/>
      <c r="N14" s="78" t="n"/>
      <c r="O14" s="79" t="n"/>
      <c r="P14" s="80" t="n"/>
      <c r="Q14" s="78" t="n"/>
      <c r="R14" s="81" t="n"/>
      <c r="S14" s="78" t="n"/>
      <c r="V14" s="85" t="inlineStr">
        <is>
          <t>NAKASHIMA, OWEN</t>
        </is>
      </c>
      <c r="W14" s="85">
        <f>COUNTIFS(Train_Log[INSTRUCTOR 1], V14,Train_Log[Code], "&lt;&gt;" &amp;"")</f>
        <v/>
      </c>
    </row>
    <row r="15">
      <c r="A15" s="78" t="n"/>
      <c r="B15" s="78" t="n"/>
      <c r="C15" s="78" t="n"/>
      <c r="D15" s="78" t="n"/>
      <c r="E15" s="79" t="n"/>
      <c r="F15" s="79" t="n"/>
      <c r="G15" s="79" t="n"/>
      <c r="H15" s="78" t="n"/>
      <c r="I15" s="78" t="n"/>
      <c r="J15" s="78" t="n"/>
      <c r="K15" s="78" t="n"/>
      <c r="L15" s="78" t="n"/>
      <c r="M15" s="78" t="n"/>
      <c r="N15" s="78" t="n"/>
      <c r="O15" s="79" t="n"/>
      <c r="P15" s="80" t="n"/>
      <c r="Q15" s="78" t="n"/>
      <c r="R15" s="81" t="n"/>
      <c r="S15" s="78" t="n"/>
      <c r="V15" s="85" t="inlineStr">
        <is>
          <t>BRANNIGAN, TERESA</t>
        </is>
      </c>
      <c r="W15" s="85">
        <f>COUNTIFS(Train_Log[INSTRUCTOR 1], V15,Train_Log[Code], "&lt;&gt;" &amp;"")</f>
        <v/>
      </c>
    </row>
    <row r="16">
      <c r="A16" s="78" t="n"/>
      <c r="B16" s="78" t="n"/>
      <c r="C16" s="78" t="n"/>
      <c r="D16" s="78" t="n"/>
      <c r="E16" s="79" t="n"/>
      <c r="F16" s="79" t="n"/>
      <c r="G16" s="79" t="n"/>
      <c r="H16" s="78" t="n"/>
      <c r="I16" s="78" t="n"/>
      <c r="J16" s="78" t="n"/>
      <c r="K16" s="78" t="n"/>
      <c r="L16" s="78" t="n"/>
      <c r="M16" s="78" t="n"/>
      <c r="N16" s="78" t="n"/>
      <c r="O16" s="79" t="n"/>
      <c r="P16" s="80" t="n"/>
      <c r="Q16" s="78" t="n"/>
      <c r="R16" s="81" t="n"/>
      <c r="S16" s="78" t="n"/>
      <c r="V16" s="85" t="inlineStr">
        <is>
          <t>MARCHETTI, ADRIANA</t>
        </is>
      </c>
      <c r="W16" s="85">
        <f>COUNTIFS(Train_Log[INSTRUCTOR 1], V16,Train_Log[Code], "&lt;&gt;" &amp;"")</f>
        <v/>
      </c>
    </row>
    <row r="17">
      <c r="A17" s="78" t="n"/>
      <c r="B17" s="78" t="n"/>
      <c r="C17" s="78" t="n"/>
      <c r="D17" s="78" t="n"/>
      <c r="E17" s="79" t="n"/>
      <c r="F17" s="79" t="n"/>
      <c r="G17" s="79" t="n"/>
      <c r="H17" s="78" t="n"/>
      <c r="I17" s="78" t="n"/>
      <c r="J17" s="78" t="n"/>
      <c r="K17" s="78" t="n"/>
      <c r="L17" s="78" t="n"/>
      <c r="M17" s="78" t="n"/>
      <c r="N17" s="78" t="n"/>
      <c r="O17" s="79" t="n"/>
      <c r="P17" s="80" t="n"/>
      <c r="Q17" s="78" t="n"/>
      <c r="R17" s="81" t="n"/>
      <c r="S17" s="87" t="n"/>
      <c r="V17" s="85" t="inlineStr">
        <is>
          <t>EASTWOOD, PRISCILLA</t>
        </is>
      </c>
      <c r="W17" s="85">
        <f>COUNTIFS(Train_Log[INSTRUCTOR 1], V17,Train_Log[Code], "&lt;&gt;" &amp;"")</f>
        <v/>
      </c>
    </row>
    <row r="18">
      <c r="A18" s="78" t="n"/>
      <c r="B18" s="78" t="n"/>
      <c r="C18" s="78" t="n"/>
      <c r="D18" s="78" t="n"/>
      <c r="E18" s="79" t="n"/>
      <c r="F18" s="79" t="n"/>
      <c r="G18" s="79" t="n"/>
      <c r="H18" s="78" t="n"/>
      <c r="I18" s="78" t="n"/>
      <c r="J18" s="78" t="n"/>
      <c r="K18" s="78" t="n"/>
      <c r="L18" s="78" t="n"/>
      <c r="M18" s="78" t="n"/>
      <c r="N18" s="78" t="n"/>
      <c r="O18" s="79" t="n"/>
      <c r="P18" s="80" t="n"/>
      <c r="Q18" s="78" t="n"/>
      <c r="R18" s="81" t="n"/>
      <c r="S18" s="87" t="n"/>
      <c r="V18" s="85" t="inlineStr">
        <is>
          <t>LANGSTON, TYRELL</t>
        </is>
      </c>
      <c r="W18" s="85">
        <f>COUNTIFS(Train_Log[INSTRUCTOR 1], V18,Train_Log[Code], "&lt;&gt;" &amp;"")</f>
        <v/>
      </c>
    </row>
    <row r="19">
      <c r="A19" s="78" t="n"/>
      <c r="B19" s="78" t="n"/>
      <c r="C19" s="78" t="n"/>
      <c r="D19" s="78" t="n"/>
      <c r="E19" s="79" t="n"/>
      <c r="F19" s="79" t="n"/>
      <c r="G19" s="79" t="n"/>
      <c r="H19" s="78" t="n"/>
      <c r="I19" s="78" t="n"/>
      <c r="J19" s="78" t="n"/>
      <c r="K19" s="78" t="n"/>
      <c r="L19" s="78" t="n"/>
      <c r="M19" s="78" t="n"/>
      <c r="N19" s="78" t="n"/>
      <c r="O19" s="79" t="n"/>
      <c r="P19" s="80" t="n"/>
      <c r="Q19" s="78" t="n"/>
      <c r="R19" s="81" t="n"/>
      <c r="S19" s="87" t="n"/>
      <c r="V19" s="85" t="inlineStr">
        <is>
          <t>TREMBLAY, ISAAC</t>
        </is>
      </c>
      <c r="W19" s="85">
        <f>COUNTIFS(Train_Log[INSTRUCTOR 1], V19,Train_Log[Code], "&lt;&gt;" &amp;"")</f>
        <v/>
      </c>
    </row>
    <row r="20">
      <c r="A20" s="78" t="n"/>
      <c r="B20" s="78" t="n"/>
      <c r="C20" s="78" t="n"/>
      <c r="D20" s="78" t="n"/>
      <c r="E20" s="79" t="n"/>
      <c r="F20" s="79" t="n"/>
      <c r="G20" s="79" t="n"/>
      <c r="H20" s="78" t="n"/>
      <c r="I20" s="78" t="n"/>
      <c r="J20" s="78" t="n"/>
      <c r="K20" s="78" t="n"/>
      <c r="L20" s="78" t="n"/>
      <c r="M20" s="78" t="n"/>
      <c r="N20" s="78" t="n"/>
      <c r="O20" s="79" t="n"/>
      <c r="P20" s="80" t="n"/>
      <c r="Q20" s="78" t="n"/>
      <c r="R20" s="81" t="n"/>
      <c r="S20" s="87" t="n"/>
      <c r="V20" s="85" t="inlineStr">
        <is>
          <t>UNDERWOOD, PAULA</t>
        </is>
      </c>
      <c r="W20" s="85">
        <f>COUNTIFS(Train_Log[INSTRUCTOR 1], V20,Train_Log[Code], "&lt;&gt;" &amp;"")</f>
        <v/>
      </c>
    </row>
    <row r="21">
      <c r="A21" s="78" t="n"/>
      <c r="B21" s="78" t="n"/>
      <c r="C21" s="78" t="n"/>
      <c r="D21" s="78" t="n"/>
      <c r="E21" s="79" t="n"/>
      <c r="F21" s="79" t="n"/>
      <c r="G21" s="79" t="n"/>
      <c r="H21" s="78" t="n"/>
      <c r="I21" s="78" t="n"/>
      <c r="J21" s="78" t="n"/>
      <c r="K21" s="78" t="n"/>
      <c r="L21" s="78" t="n"/>
      <c r="M21" s="78" t="n"/>
      <c r="N21" s="78" t="n"/>
      <c r="O21" s="79" t="n"/>
      <c r="P21" s="80" t="n"/>
      <c r="Q21" s="78" t="n"/>
      <c r="R21" s="81" t="n"/>
      <c r="S21" s="87" t="n"/>
      <c r="V21" s="85" t="inlineStr">
        <is>
          <t>WHITFIELD, LORNA</t>
        </is>
      </c>
      <c r="W21" s="85">
        <f>COUNTIFS(Train_Log[INSTRUCTOR 1], V21,Train_Log[Code], "&lt;&gt;" &amp;"")</f>
        <v/>
      </c>
    </row>
    <row r="22">
      <c r="A22" s="78" t="n"/>
      <c r="B22" s="78" t="n"/>
      <c r="C22" s="78" t="n"/>
      <c r="D22" s="78" t="n"/>
      <c r="E22" s="79" t="n"/>
      <c r="F22" s="79" t="n"/>
      <c r="G22" s="79" t="n"/>
      <c r="H22" s="78" t="n"/>
      <c r="I22" s="78" t="n"/>
      <c r="J22" s="78" t="n"/>
      <c r="K22" s="78" t="n"/>
      <c r="L22" s="78" t="n"/>
      <c r="M22" s="78" t="n"/>
      <c r="N22" s="78" t="n"/>
      <c r="O22" s="79" t="n"/>
      <c r="P22" s="80" t="n"/>
      <c r="Q22" s="78" t="n"/>
      <c r="R22" s="81" t="n"/>
      <c r="S22" s="87" t="n"/>
      <c r="V22" s="85" t="inlineStr">
        <is>
          <t>YARBOROUGH, PATRICK</t>
        </is>
      </c>
      <c r="W22" s="85">
        <f>COUNTIFS(Train_Log[INSTRUCTOR 1], V22,Train_Log[Code], "&lt;&gt;" &amp;"")</f>
        <v/>
      </c>
    </row>
    <row r="23">
      <c r="A23" s="82" t="n"/>
      <c r="E23" s="82" t="n"/>
      <c r="O23" s="82" t="n"/>
      <c r="S23" s="88" t="n"/>
      <c r="V23" s="85" t="inlineStr">
        <is>
          <t>IBARRA, CONSTANCE</t>
        </is>
      </c>
      <c r="W23" s="85">
        <f>COUNTIFS(Train_Log[INSTRUCTOR 1], V23,Train_Log[Code], "&lt;&gt;" &amp;"")</f>
        <v/>
      </c>
    </row>
    <row r="24">
      <c r="A24" s="82" t="n"/>
      <c r="E24" s="82" t="n"/>
      <c r="O24" s="82" t="n"/>
      <c r="S24" s="88" t="n"/>
      <c r="V24" s="85" t="inlineStr">
        <is>
          <t>ZAMORA, VIVIAN</t>
        </is>
      </c>
      <c r="W24" s="85">
        <f>COUNTIFS(Train_Log[INSTRUCTOR 1], V24,Train_Log[Code], "&lt;&gt;" &amp;"")</f>
        <v/>
      </c>
    </row>
    <row r="25">
      <c r="A25" s="82" t="n"/>
      <c r="E25" s="82" t="n"/>
      <c r="S25" s="88" t="n"/>
      <c r="V25" s="85" t="inlineStr">
        <is>
          <t>HOLLOWAY, DESMOND</t>
        </is>
      </c>
      <c r="W25" s="85">
        <f>COUNTIFS(Train_Log[INSTRUCTOR 1], V25,Train_Log[Code], "&lt;&gt;" &amp;"")</f>
        <v/>
      </c>
    </row>
    <row r="26">
      <c r="E26" s="82" t="n"/>
      <c r="S26" s="88" t="n"/>
      <c r="V26" s="85" t="inlineStr">
        <is>
          <t>BRIGGS, ELOISE</t>
        </is>
      </c>
      <c r="W26" s="85">
        <f>COUNTIFS(Train_Log[INSTRUCTOR 1], V26,Train_Log[Code], "&lt;&gt;" &amp;"")</f>
        <v/>
      </c>
    </row>
    <row r="27">
      <c r="A27" s="82" t="n"/>
      <c r="D27" s="91" t="n"/>
      <c r="E27" s="82" t="n"/>
      <c r="S27" s="88" t="n"/>
      <c r="V27" s="85" t="inlineStr">
        <is>
          <t>DRUMMOND, NAOMI</t>
        </is>
      </c>
      <c r="W27" s="85">
        <f>COUNTIFS(Train_Log[INSTRUCTOR 1], V27,Train_Log[Code], "&lt;&gt;" &amp;"")</f>
        <v/>
      </c>
    </row>
    <row r="28">
      <c r="A28" s="82" t="n"/>
      <c r="E28" s="82" t="n"/>
      <c r="S28" s="88" t="n"/>
      <c r="V28" s="92" t="inlineStr">
        <is>
          <t>PEMBERTON, WALLACE</t>
        </is>
      </c>
      <c r="W28" s="85">
        <f>COUNTIFS(Train_Log[INSTRUCTOR 1], V28,Train_Log[Code], "&lt;&gt;" &amp;"")</f>
        <v/>
      </c>
    </row>
    <row r="29">
      <c r="A29" s="82" t="n"/>
      <c r="E29" s="82" t="n"/>
      <c r="S29" s="88" t="n"/>
      <c r="V29" s="92" t="inlineStr">
        <is>
          <t>GUERRERO, SAMANTHA</t>
        </is>
      </c>
      <c r="W29" s="85">
        <f>COUNTIFS(Train_Log[INSTRUCTOR 1], V29,Train_Log[Code], "&lt;&gt;" &amp;"")</f>
        <v/>
      </c>
    </row>
    <row r="30">
      <c r="A30" s="82" t="n"/>
      <c r="E30" s="82" t="n"/>
      <c r="S30" s="88" t="n"/>
      <c r="V30" s="92" t="inlineStr">
        <is>
          <t>VASQUEZ-REY, MARIO</t>
        </is>
      </c>
      <c r="W30" s="85">
        <f>COUNTIFS(Train_Log[INSTRUCTOR 1], V30,Train_Log[Code], "&lt;&gt;" &amp;"")</f>
        <v/>
      </c>
    </row>
    <row r="31">
      <c r="A31" s="82" t="n"/>
      <c r="E31" s="82" t="n"/>
      <c r="S31" s="88" t="n"/>
      <c r="V31" s="85" t="n"/>
      <c r="W31" s="85">
        <f>COUNTIFS(Train_Log[INSTRUCTOR 1], V31,Train_Log[Code], "&lt;&gt;" &amp;"")</f>
        <v/>
      </c>
    </row>
    <row r="32">
      <c r="A32" s="82" t="n"/>
      <c r="E32" s="82" t="n"/>
      <c r="S32" s="88" t="n"/>
      <c r="V32" s="85" t="n"/>
      <c r="W32" s="85">
        <f>COUNTIFS(Train_Log[INSTRUCTOR 1], V32,Train_Log[Code], "&lt;&gt;" &amp;"")</f>
        <v/>
      </c>
    </row>
    <row r="33" customFormat="1" s="82">
      <c r="O33" s="89" t="n"/>
      <c r="S33" s="88" t="n"/>
      <c r="V33" s="93" t="n"/>
      <c r="W33" s="85">
        <f>COUNTIFS(Train_Log[INSTRUCTOR 1], V33,Train_Log[Code], "&lt;&gt;" &amp;"")</f>
        <v/>
      </c>
    </row>
    <row r="34" customFormat="1" s="82">
      <c r="O34" s="89" t="n"/>
      <c r="S34" s="88" t="n"/>
      <c r="V34" s="85" t="inlineStr">
        <is>
          <t>KORDBACHEH, SEAMA</t>
        </is>
      </c>
      <c r="W34" s="85">
        <f>COUNTIFS(Train_Log[INSTRUCTOR 1], V34,Train_Log[Code], "&lt;&gt;" &amp;"")</f>
        <v/>
      </c>
    </row>
    <row r="35" customFormat="1" s="82">
      <c r="O35" s="89" t="n"/>
      <c r="S35" s="88" t="n"/>
      <c r="V35" s="85" t="inlineStr">
        <is>
          <t>HUNTER, HAL</t>
        </is>
      </c>
      <c r="W35" s="85">
        <f>COUNTIFS(Train_Log[INSTRUCTOR 1], V35,Train_Log[Code], "&lt;&gt;" &amp;"")</f>
        <v/>
      </c>
    </row>
    <row r="36" customFormat="1" s="82">
      <c r="O36" s="89" t="n"/>
      <c r="S36" s="88" t="n"/>
      <c r="V36" s="94" t="inlineStr">
        <is>
          <t xml:space="preserve">MOYER-DODD, AMY </t>
        </is>
      </c>
      <c r="W36" s="94">
        <f>COUNTIFS(Train_Log[INSTRUCTOR 1], V36,Train_Log[Code], "&lt;&gt;" &amp;"")</f>
        <v/>
      </c>
    </row>
    <row r="37" customFormat="1" s="82">
      <c r="O37" s="89" t="n"/>
      <c r="S37" s="88" t="n"/>
    </row>
    <row r="38" customFormat="1" s="82">
      <c r="O38" s="89" t="n"/>
      <c r="S38" s="88" t="n"/>
      <c r="V38" s="82">
        <f t="array" ref="V38:V39">_xlfn.UNIQUE(D2:D22,)</f>
        <v/>
      </c>
    </row>
    <row r="39" customFormat="1" s="82">
      <c r="O39" s="89" t="n"/>
      <c r="S39" s="88" t="n"/>
      <c r="V39" s="82" t="n">
        <v>0</v>
      </c>
    </row>
    <row r="40" customFormat="1" s="82">
      <c r="O40" s="89" t="n"/>
      <c r="S40" s="88" t="n"/>
    </row>
    <row r="41" customFormat="1" s="82">
      <c r="O41" s="89" t="n"/>
      <c r="S41" s="88" t="n"/>
    </row>
    <row r="42" customFormat="1" s="82">
      <c r="O42" s="89" t="n"/>
      <c r="S42" s="88" t="n"/>
    </row>
    <row r="43" customFormat="1" s="82">
      <c r="O43" s="89" t="n"/>
      <c r="S43" s="88" t="n"/>
    </row>
    <row r="44" customFormat="1" s="82">
      <c r="O44" s="89" t="n"/>
      <c r="S44" s="88" t="n"/>
      <c r="V44" s="82" t="inlineStr">
        <is>
          <t>Credit Hours Earned</t>
        </is>
      </c>
      <c r="W44" s="82" t="inlineStr">
        <is>
          <t>Credit Hours Availiable</t>
        </is>
      </c>
    </row>
    <row r="45" customFormat="1" s="82">
      <c r="O45" s="89" t="n"/>
      <c r="S45" s="88" t="n"/>
      <c r="V45" s="82">
        <f>SUM(I2:I200)</f>
        <v/>
      </c>
      <c r="W45" s="82">
        <f>SUM(H2:H200)</f>
        <v/>
      </c>
    </row>
    <row r="46" customFormat="1" s="82">
      <c r="O46" s="89" t="n"/>
      <c r="S46" s="88" t="n"/>
    </row>
    <row r="47" customFormat="1" s="82">
      <c r="O47" s="89" t="n"/>
      <c r="S47" s="88" t="n"/>
    </row>
    <row r="48" customFormat="1" s="82">
      <c r="O48" s="89" t="n"/>
      <c r="S48" s="88" t="n"/>
    </row>
    <row r="49" customFormat="1" s="82">
      <c r="O49" s="89" t="n"/>
      <c r="S49" s="88" t="n"/>
    </row>
    <row r="50" customFormat="1" s="82">
      <c r="O50" s="89" t="n"/>
      <c r="S50" s="88" t="n"/>
    </row>
    <row r="51" customFormat="1" s="82">
      <c r="O51" s="89" t="n"/>
      <c r="S51" s="88" t="n"/>
    </row>
    <row r="52" customFormat="1" s="82">
      <c r="O52" s="89" t="n"/>
      <c r="S52" s="88" t="n"/>
    </row>
    <row r="53" customFormat="1" s="82">
      <c r="O53" s="89" t="n"/>
      <c r="S53" s="88" t="n"/>
    </row>
    <row r="54" customFormat="1" s="82">
      <c r="O54" s="89" t="n"/>
      <c r="S54" s="88" t="n"/>
    </row>
    <row r="55" customFormat="1" s="82">
      <c r="O55" s="89" t="n"/>
      <c r="S55" s="88" t="n"/>
    </row>
    <row r="56" customFormat="1" s="82">
      <c r="O56" s="89" t="n"/>
      <c r="S56" s="88" t="n"/>
    </row>
    <row r="57" customFormat="1" s="82">
      <c r="O57" s="89" t="n"/>
      <c r="S57" s="88" t="n"/>
    </row>
    <row r="58" customFormat="1" s="82">
      <c r="O58" s="89" t="n"/>
      <c r="S58" s="88" t="n"/>
    </row>
    <row r="59" customFormat="1" s="82">
      <c r="O59" s="89" t="n"/>
      <c r="S59" s="88" t="n"/>
    </row>
    <row r="60" customFormat="1" s="82">
      <c r="O60" s="89" t="n"/>
      <c r="S60" s="88" t="n"/>
    </row>
    <row r="61" customFormat="1" s="82">
      <c r="O61" s="89" t="n"/>
      <c r="S61" s="88" t="n"/>
    </row>
    <row r="62" customFormat="1" s="82">
      <c r="O62" s="89" t="n"/>
      <c r="S62" s="88" t="n"/>
    </row>
    <row r="63" customFormat="1" s="82">
      <c r="O63" s="89" t="n"/>
      <c r="S63" s="88" t="n"/>
    </row>
    <row r="64" customFormat="1" s="82">
      <c r="O64" s="89" t="n"/>
      <c r="S64" s="88" t="n"/>
    </row>
    <row r="65" customFormat="1" s="82">
      <c r="O65" s="89" t="n"/>
      <c r="S65" s="88" t="n"/>
    </row>
    <row r="66" customFormat="1" s="82">
      <c r="O66" s="89" t="n"/>
      <c r="S66" s="88" t="n"/>
    </row>
    <row r="67" customFormat="1" s="82">
      <c r="O67" s="89" t="n"/>
      <c r="S67" s="88" t="n"/>
    </row>
    <row r="68" customFormat="1" s="82">
      <c r="O68" s="89" t="n"/>
      <c r="S68" s="88" t="n"/>
    </row>
    <row r="69" customFormat="1" s="82">
      <c r="O69" s="89" t="n"/>
      <c r="S69" s="88" t="n"/>
    </row>
    <row r="70" customFormat="1" s="82">
      <c r="O70" s="89" t="n"/>
      <c r="S70" s="88" t="n"/>
    </row>
    <row r="71" customFormat="1" s="82">
      <c r="O71" s="89" t="n"/>
      <c r="S71" s="88" t="n"/>
    </row>
    <row r="72" customFormat="1" s="82">
      <c r="O72" s="89" t="n"/>
      <c r="S72" s="88" t="n"/>
    </row>
    <row r="73" customFormat="1" s="82">
      <c r="O73" s="89" t="n"/>
      <c r="S73" s="88" t="n"/>
    </row>
    <row r="74" customFormat="1" s="82">
      <c r="O74" s="89" t="n"/>
      <c r="S74" s="88" t="n"/>
    </row>
    <row r="75" customFormat="1" s="82">
      <c r="O75" s="89" t="n"/>
      <c r="S75" s="88" t="n"/>
    </row>
    <row r="76" customFormat="1" s="82">
      <c r="O76" s="89" t="n"/>
      <c r="S76" s="88" t="n"/>
    </row>
    <row r="77" customFormat="1" s="82">
      <c r="O77" s="89" t="n"/>
      <c r="S77" s="88" t="n"/>
    </row>
    <row r="78" customFormat="1" s="82">
      <c r="O78" s="89" t="n"/>
      <c r="S78" s="88" t="n"/>
    </row>
    <row r="79" customFormat="1" s="82">
      <c r="O79" s="89" t="n"/>
      <c r="S79" s="88" t="n"/>
    </row>
    <row r="80" customFormat="1" s="82">
      <c r="O80" s="89" t="n"/>
      <c r="S80" s="88" t="n"/>
    </row>
    <row r="81" customFormat="1" s="82">
      <c r="O81" s="89" t="n"/>
      <c r="S81" s="88" t="n"/>
    </row>
    <row r="82" customFormat="1" s="82">
      <c r="O82" s="89" t="n"/>
      <c r="S82" s="88" t="n"/>
    </row>
    <row r="83" customFormat="1" s="82">
      <c r="O83" s="89" t="n"/>
      <c r="S83" s="88" t="n"/>
    </row>
    <row r="84" customFormat="1" s="82">
      <c r="O84" s="89" t="n"/>
      <c r="S84" s="88" t="n"/>
    </row>
    <row r="85" customFormat="1" s="82">
      <c r="O85" s="89" t="n"/>
      <c r="S85" s="88" t="n"/>
    </row>
    <row r="86" customFormat="1" s="82">
      <c r="O86" s="89" t="n"/>
      <c r="S86" s="88" t="n"/>
    </row>
    <row r="87" customFormat="1" s="82">
      <c r="O87" s="89" t="n"/>
      <c r="S87" s="88" t="n"/>
    </row>
    <row r="88" customFormat="1" s="82">
      <c r="O88" s="89" t="n"/>
      <c r="S88" s="88" t="n"/>
    </row>
    <row r="89" customFormat="1" s="82">
      <c r="O89" s="89" t="n"/>
      <c r="S89" s="88" t="n"/>
    </row>
    <row r="90" customFormat="1" s="82">
      <c r="O90" s="89" t="n"/>
      <c r="S90" s="88" t="n"/>
    </row>
    <row r="91" customFormat="1" s="82">
      <c r="O91" s="89" t="n"/>
      <c r="S91" s="88" t="n"/>
    </row>
    <row r="92" customFormat="1" s="82">
      <c r="O92" s="89" t="n"/>
      <c r="S92" s="88" t="n"/>
    </row>
    <row r="93" customFormat="1" s="82">
      <c r="O93" s="89" t="n"/>
      <c r="S93" s="88" t="n"/>
    </row>
    <row r="94" customFormat="1" s="82">
      <c r="O94" s="89" t="n"/>
      <c r="S94" s="88" t="n"/>
    </row>
    <row r="95" customFormat="1" s="82">
      <c r="O95" s="89" t="n"/>
      <c r="S95" s="88" t="n"/>
    </row>
    <row r="96" customFormat="1" s="82">
      <c r="O96" s="89" t="n"/>
      <c r="S96" s="88" t="n"/>
    </row>
    <row r="97" customFormat="1" s="82">
      <c r="O97" s="89" t="n"/>
      <c r="S97" s="88" t="n"/>
    </row>
    <row r="98" customFormat="1" s="82">
      <c r="O98" s="89" t="n"/>
      <c r="S98" s="88" t="n"/>
    </row>
    <row r="99" customFormat="1" s="82">
      <c r="O99" s="89" t="n"/>
      <c r="S99" s="88" t="n"/>
    </row>
    <row r="100" customFormat="1" s="82">
      <c r="O100" s="89" t="n"/>
      <c r="S100" s="88" t="n"/>
    </row>
    <row r="101" customFormat="1" s="82">
      <c r="O101" s="89" t="n"/>
      <c r="S101" s="88" t="n"/>
    </row>
    <row r="102" customFormat="1" s="82">
      <c r="O102" s="89" t="n"/>
      <c r="S102" s="88" t="n"/>
    </row>
    <row r="103" customFormat="1" s="82">
      <c r="O103" s="89" t="n"/>
      <c r="S103" s="88" t="n"/>
    </row>
    <row r="104" customFormat="1" s="82">
      <c r="O104" s="89" t="n"/>
      <c r="S104" s="88" t="n"/>
    </row>
    <row r="105" customFormat="1" s="82">
      <c r="O105" s="89" t="n"/>
      <c r="S105" s="88" t="n"/>
    </row>
    <row r="106" customFormat="1" s="82">
      <c r="O106" s="89" t="n"/>
      <c r="S106" s="88" t="n"/>
    </row>
    <row r="107" customFormat="1" s="82">
      <c r="O107" s="89" t="n"/>
      <c r="S107" s="88" t="n"/>
    </row>
    <row r="108" customFormat="1" s="82">
      <c r="O108" s="89" t="n"/>
      <c r="S108" s="88" t="n"/>
    </row>
    <row r="109" customFormat="1" s="82">
      <c r="O109" s="89" t="n"/>
      <c r="S109" s="88" t="n"/>
    </row>
    <row r="110" customFormat="1" s="82">
      <c r="O110" s="89" t="n"/>
      <c r="S110" s="88" t="n"/>
    </row>
    <row r="111" customFormat="1" s="82">
      <c r="O111" s="89" t="n"/>
      <c r="S111" s="88" t="n"/>
    </row>
    <row r="112" customFormat="1" s="82">
      <c r="O112" s="89" t="n"/>
      <c r="S112" s="88" t="n"/>
    </row>
    <row r="113" customFormat="1" s="82">
      <c r="O113" s="89" t="n"/>
      <c r="S113" s="88" t="n"/>
    </row>
    <row r="114" customFormat="1" s="82">
      <c r="O114" s="89" t="n"/>
      <c r="S114" s="88" t="n"/>
    </row>
    <row r="115" customFormat="1" s="82">
      <c r="O115" s="89" t="n"/>
      <c r="S115" s="88" t="n"/>
    </row>
    <row r="116" customFormat="1" s="82">
      <c r="O116" s="89" t="n"/>
      <c r="S116" s="88" t="n"/>
    </row>
    <row r="117" customFormat="1" s="82">
      <c r="O117" s="89" t="n"/>
      <c r="S117" s="88" t="n"/>
    </row>
    <row r="118" customFormat="1" s="82">
      <c r="O118" s="89" t="n"/>
      <c r="S118" s="88" t="n"/>
    </row>
    <row r="119" customFormat="1" s="82">
      <c r="O119" s="89" t="n"/>
      <c r="S119" s="88" t="n"/>
    </row>
    <row r="120" customFormat="1" s="82">
      <c r="O120" s="89" t="n"/>
      <c r="S120" s="88" t="n"/>
    </row>
    <row r="121" customFormat="1" s="82">
      <c r="O121" s="89" t="n"/>
      <c r="S121" s="88" t="n"/>
    </row>
    <row r="122" customFormat="1" s="82">
      <c r="O122" s="89" t="n"/>
      <c r="S122" s="88" t="n"/>
    </row>
    <row r="123" customFormat="1" s="82">
      <c r="O123" s="89" t="n"/>
      <c r="S123" s="88" t="n"/>
    </row>
    <row r="124" customFormat="1" s="82">
      <c r="O124" s="89" t="n"/>
      <c r="S124" s="88" t="n"/>
    </row>
    <row r="125" customFormat="1" s="82">
      <c r="O125" s="89" t="n"/>
      <c r="S125" s="88" t="n"/>
    </row>
    <row r="126" customFormat="1" s="82">
      <c r="O126" s="89" t="n"/>
      <c r="S126" s="88" t="n"/>
    </row>
    <row r="127" customFormat="1" s="82">
      <c r="O127" s="89" t="n"/>
      <c r="S127" s="88" t="n"/>
    </row>
    <row r="128" customFormat="1" s="82">
      <c r="O128" s="89" t="n"/>
      <c r="S128" s="88" t="n"/>
    </row>
    <row r="129" customFormat="1" s="82">
      <c r="O129" s="89" t="n"/>
      <c r="S129" s="88" t="n"/>
    </row>
    <row r="130" customFormat="1" s="82">
      <c r="O130" s="89" t="n"/>
      <c r="S130" s="88" t="n"/>
    </row>
    <row r="131" customFormat="1" s="82">
      <c r="O131" s="89" t="n"/>
      <c r="S131" s="88" t="n"/>
    </row>
    <row r="132" customFormat="1" s="82">
      <c r="O132" s="89" t="n"/>
      <c r="S132" s="88" t="n"/>
    </row>
    <row r="133" customFormat="1" s="82">
      <c r="O133" s="89" t="n"/>
      <c r="S133" s="88" t="n"/>
    </row>
    <row r="134" customFormat="1" s="82">
      <c r="O134" s="89" t="n"/>
      <c r="S134" s="88" t="n"/>
    </row>
    <row r="135" customFormat="1" s="82">
      <c r="O135" s="89" t="n"/>
      <c r="S135" s="88" t="n"/>
    </row>
    <row r="136" customFormat="1" s="82">
      <c r="O136" s="89" t="n"/>
      <c r="S136" s="88" t="n"/>
    </row>
    <row r="137" customFormat="1" s="82">
      <c r="O137" s="89" t="n"/>
      <c r="S137" s="88" t="n"/>
    </row>
    <row r="138" customFormat="1" s="82">
      <c r="O138" s="89" t="n"/>
      <c r="S138" s="88" t="n"/>
    </row>
    <row r="139" customFormat="1" s="82">
      <c r="O139" s="89" t="n"/>
      <c r="S139" s="88" t="n"/>
    </row>
    <row r="140" customFormat="1" s="82">
      <c r="O140" s="89" t="n"/>
      <c r="S140" s="88" t="n"/>
    </row>
    <row r="141" customFormat="1" s="82">
      <c r="O141" s="89" t="n"/>
      <c r="S141" s="88" t="n"/>
    </row>
    <row r="142" customFormat="1" s="82">
      <c r="O142" s="89" t="n"/>
      <c r="S142" s="88" t="n"/>
    </row>
    <row r="143" customFormat="1" s="82">
      <c r="O143" s="89" t="n"/>
      <c r="S143" s="88" t="n"/>
    </row>
    <row r="144" customFormat="1" s="82">
      <c r="O144" s="89" t="n"/>
      <c r="S144" s="88" t="n"/>
    </row>
    <row r="145" customFormat="1" s="82">
      <c r="O145" s="89" t="n"/>
      <c r="S145" s="88" t="n"/>
    </row>
    <row r="146" customFormat="1" s="82">
      <c r="O146" s="89" t="n"/>
      <c r="S146" s="88" t="n"/>
    </row>
    <row r="147" customFormat="1" s="82">
      <c r="O147" s="89" t="n"/>
      <c r="S147" s="88" t="n"/>
    </row>
    <row r="148" customFormat="1" s="82">
      <c r="O148" s="89" t="n"/>
      <c r="S148" s="88" t="n"/>
    </row>
    <row r="149" customFormat="1" s="82">
      <c r="O149" s="89" t="n"/>
      <c r="S149" s="88" t="n"/>
    </row>
    <row r="150" customFormat="1" s="82">
      <c r="O150" s="89" t="n"/>
      <c r="S150" s="88" t="n"/>
    </row>
    <row r="151" customFormat="1" s="82">
      <c r="O151" s="89" t="n"/>
      <c r="S151" s="88" t="n"/>
    </row>
    <row r="152" customFormat="1" s="82">
      <c r="O152" s="89" t="n"/>
      <c r="S152" s="88" t="n"/>
    </row>
    <row r="153" customFormat="1" s="82">
      <c r="O153" s="89" t="n"/>
      <c r="S153" s="88" t="n"/>
    </row>
    <row r="154" customFormat="1" s="82">
      <c r="O154" s="89" t="n"/>
      <c r="S154" s="88" t="n"/>
    </row>
    <row r="155" customFormat="1" s="82">
      <c r="O155" s="89" t="n"/>
      <c r="S155" s="88" t="n"/>
    </row>
    <row r="156" customFormat="1" s="82">
      <c r="O156" s="89" t="n"/>
      <c r="S156" s="88" t="n"/>
    </row>
    <row r="157" customFormat="1" s="82">
      <c r="O157" s="89" t="n"/>
      <c r="S157" s="88" t="n"/>
    </row>
    <row r="158" customFormat="1" s="82">
      <c r="O158" s="89" t="n"/>
      <c r="S158" s="88" t="n"/>
    </row>
    <row r="159" customFormat="1" s="82">
      <c r="O159" s="89" t="n"/>
      <c r="S159" s="88" t="n"/>
    </row>
    <row r="160" customFormat="1" s="82">
      <c r="O160" s="89" t="n"/>
      <c r="S160" s="88" t="n"/>
    </row>
    <row r="161" customFormat="1" s="82">
      <c r="O161" s="89" t="n"/>
      <c r="S161" s="88" t="n"/>
    </row>
    <row r="162" customFormat="1" s="82">
      <c r="O162" s="89" t="n"/>
      <c r="S162" s="88" t="n"/>
    </row>
    <row r="163" customFormat="1" s="82">
      <c r="O163" s="89" t="n"/>
      <c r="S163" s="88" t="n"/>
    </row>
    <row r="164" customFormat="1" s="82">
      <c r="O164" s="89" t="n"/>
      <c r="S164" s="88" t="n"/>
    </row>
    <row r="165" customFormat="1" s="82">
      <c r="O165" s="89" t="n"/>
      <c r="S165" s="88" t="n"/>
    </row>
    <row r="166" customFormat="1" s="82">
      <c r="O166" s="89" t="n"/>
      <c r="S166" s="88" t="n"/>
    </row>
    <row r="167" customFormat="1" s="82">
      <c r="O167" s="89" t="n"/>
      <c r="S167" s="88" t="n"/>
    </row>
    <row r="168" customFormat="1" s="82">
      <c r="O168" s="89" t="n"/>
      <c r="S168" s="88" t="n"/>
    </row>
    <row r="169" customFormat="1" s="82">
      <c r="O169" s="89" t="n"/>
      <c r="S169" s="88" t="n"/>
    </row>
    <row r="170" customFormat="1" s="82">
      <c r="O170" s="89" t="n"/>
      <c r="S170" s="88" t="n"/>
    </row>
    <row r="171" customFormat="1" s="82">
      <c r="O171" s="89" t="n"/>
      <c r="S171" s="88" t="n"/>
    </row>
    <row r="172" customFormat="1" s="82">
      <c r="O172" s="89" t="n"/>
      <c r="S172" s="88" t="n"/>
    </row>
    <row r="173" customFormat="1" s="82">
      <c r="O173" s="89" t="n"/>
      <c r="S173" s="88" t="n"/>
    </row>
    <row r="174" customFormat="1" s="82">
      <c r="O174" s="89" t="n"/>
      <c r="S174" s="88" t="n"/>
    </row>
    <row r="175" customFormat="1" s="82">
      <c r="O175" s="89" t="n"/>
      <c r="S175" s="88" t="n"/>
    </row>
    <row r="176" customFormat="1" s="82">
      <c r="O176" s="89" t="n"/>
      <c r="S176" s="88" t="n"/>
    </row>
    <row r="177" customFormat="1" s="82">
      <c r="O177" s="89" t="n"/>
      <c r="S177" s="88" t="n"/>
    </row>
    <row r="178" customFormat="1" s="82">
      <c r="O178" s="89" t="n"/>
      <c r="S178" s="88" t="n"/>
    </row>
    <row r="179" customFormat="1" s="82">
      <c r="O179" s="89" t="n"/>
      <c r="S179" s="88" t="n"/>
    </row>
    <row r="180" customFormat="1" s="82">
      <c r="O180" s="89" t="n"/>
      <c r="S180" s="88" t="n"/>
    </row>
    <row r="181" customFormat="1" s="82">
      <c r="O181" s="89" t="n"/>
      <c r="S181" s="88" t="n"/>
    </row>
    <row r="182" customFormat="1" s="82">
      <c r="O182" s="89" t="n"/>
      <c r="S182" s="88" t="n"/>
    </row>
    <row r="183" customFormat="1" s="82">
      <c r="O183" s="89" t="n"/>
      <c r="S183" s="88" t="n"/>
    </row>
    <row r="184" customFormat="1" s="82">
      <c r="O184" s="89" t="n"/>
      <c r="S184" s="88" t="n"/>
    </row>
    <row r="185" customFormat="1" s="82">
      <c r="O185" s="89" t="n"/>
      <c r="S185" s="88" t="n"/>
    </row>
    <row r="186" customFormat="1" s="82">
      <c r="O186" s="89" t="n"/>
      <c r="S186" s="88" t="n"/>
    </row>
    <row r="187" customFormat="1" s="82">
      <c r="O187" s="89" t="n"/>
      <c r="S187" s="88" t="n"/>
    </row>
    <row r="188" customFormat="1" s="82">
      <c r="O188" s="89" t="n"/>
      <c r="S188" s="88" t="n"/>
    </row>
    <row r="189" customFormat="1" s="82">
      <c r="O189" s="89" t="n"/>
      <c r="S189" s="88" t="n"/>
    </row>
    <row r="190" customFormat="1" s="82">
      <c r="O190" s="89" t="n"/>
      <c r="S190" s="88" t="n"/>
    </row>
    <row r="191" customFormat="1" s="82">
      <c r="O191" s="89" t="n"/>
      <c r="S191" s="88" t="n"/>
    </row>
    <row r="192" customFormat="1" s="82">
      <c r="O192" s="89" t="n"/>
      <c r="S192" s="88" t="n"/>
    </row>
    <row r="193" customFormat="1" s="82">
      <c r="O193" s="89" t="n"/>
      <c r="S193" s="88" t="n"/>
    </row>
    <row r="194" customFormat="1" s="82">
      <c r="O194" s="89" t="n"/>
      <c r="S194" s="88" t="n"/>
    </row>
    <row r="195" customFormat="1" s="82">
      <c r="O195" s="89" t="n"/>
      <c r="S195" s="88" t="n"/>
    </row>
    <row r="196" customFormat="1" s="82">
      <c r="O196" s="89" t="n"/>
      <c r="S196" s="88" t="n"/>
    </row>
    <row r="197" customFormat="1" s="82">
      <c r="O197" s="89" t="n"/>
      <c r="S197" s="88" t="n"/>
    </row>
    <row r="198" customFormat="1" s="82">
      <c r="O198" s="89" t="n"/>
      <c r="S198" s="88" t="n"/>
    </row>
    <row r="199" customFormat="1" s="82">
      <c r="O199" s="89" t="n"/>
      <c r="S199" s="88" t="n"/>
    </row>
    <row r="200" ht="13.5" customFormat="1" customHeight="1" s="82" thickBot="1">
      <c r="O200" s="89" t="n"/>
      <c r="S200" s="88" t="n"/>
    </row>
    <row r="201" customFormat="1" s="82">
      <c r="O201" s="89" t="n"/>
      <c r="S201" s="88" t="n"/>
    </row>
    <row r="202" customFormat="1" s="82">
      <c r="O202" s="89" t="n"/>
      <c r="S202" s="88" t="n"/>
    </row>
    <row r="203" customFormat="1" s="82">
      <c r="O203" s="89" t="n"/>
      <c r="S203" s="88" t="n"/>
    </row>
    <row r="204" customFormat="1" s="82">
      <c r="O204" s="89" t="n"/>
      <c r="S204" s="88" t="n"/>
    </row>
    <row r="205" customFormat="1" s="82">
      <c r="O205" s="89" t="n"/>
      <c r="S205" s="88" t="n"/>
    </row>
    <row r="206" customFormat="1" s="82">
      <c r="O206" s="89" t="n"/>
      <c r="S206" s="88" t="n"/>
    </row>
    <row r="207" customFormat="1" s="82">
      <c r="O207" s="89" t="n"/>
      <c r="S207" s="88" t="n"/>
    </row>
    <row r="208" customFormat="1" s="82">
      <c r="O208" s="89" t="n"/>
      <c r="S208" s="88" t="n"/>
    </row>
    <row r="209" customFormat="1" s="82">
      <c r="O209" s="89" t="n"/>
      <c r="S209" s="88" t="n"/>
    </row>
    <row r="210" customFormat="1" s="82">
      <c r="O210" s="89" t="n"/>
      <c r="S210" s="88" t="n"/>
    </row>
    <row r="211" customFormat="1" s="82">
      <c r="O211" s="89" t="n"/>
      <c r="S211" s="88" t="n"/>
    </row>
    <row r="212" customFormat="1" s="82">
      <c r="O212" s="89" t="n"/>
      <c r="S212" s="88" t="n"/>
    </row>
    <row r="213" customFormat="1" s="82">
      <c r="O213" s="89" t="n"/>
      <c r="S213" s="88" t="n"/>
    </row>
    <row r="214" customFormat="1" s="82">
      <c r="O214" s="89" t="n"/>
      <c r="S214" s="88" t="n"/>
    </row>
    <row r="215" customFormat="1" s="82">
      <c r="O215" s="89" t="n"/>
      <c r="S215" s="88" t="n"/>
    </row>
    <row r="216" customFormat="1" s="82">
      <c r="O216" s="89" t="n"/>
      <c r="S216" s="88" t="n"/>
    </row>
    <row r="217" customFormat="1" s="82">
      <c r="O217" s="89" t="n"/>
      <c r="S217" s="88" t="n"/>
    </row>
    <row r="218" customFormat="1" s="82">
      <c r="O218" s="89" t="n"/>
      <c r="S218" s="88" t="n"/>
    </row>
    <row r="219" customFormat="1" s="82">
      <c r="O219" s="89" t="n"/>
      <c r="S219" s="88" t="n"/>
    </row>
    <row r="220" customFormat="1" s="82">
      <c r="O220" s="89" t="n"/>
      <c r="S220" s="88" t="n"/>
    </row>
    <row r="221" customFormat="1" s="82">
      <c r="O221" s="89" t="n"/>
      <c r="S221" s="88" t="n"/>
    </row>
    <row r="222" customFormat="1" s="82">
      <c r="O222" s="89" t="n"/>
      <c r="S222" s="88" t="n"/>
    </row>
    <row r="223" customFormat="1" s="82">
      <c r="O223" s="89" t="n"/>
      <c r="S223" s="88" t="n"/>
    </row>
    <row r="224" customFormat="1" s="82">
      <c r="O224" s="89" t="n"/>
      <c r="S224" s="88" t="n"/>
    </row>
    <row r="225" customFormat="1" s="82">
      <c r="O225" s="89" t="n"/>
      <c r="S225" s="88" t="n"/>
    </row>
    <row r="226" customFormat="1" s="82">
      <c r="O226" s="89" t="n"/>
      <c r="S226" s="88" t="n"/>
    </row>
    <row r="227" customFormat="1" s="82">
      <c r="O227" s="89" t="n"/>
      <c r="S227" s="88" t="n"/>
    </row>
    <row r="228" customFormat="1" s="82">
      <c r="O228" s="89" t="n"/>
      <c r="S228" s="88" t="n"/>
    </row>
    <row r="229" customFormat="1" s="82">
      <c r="O229" s="89" t="n"/>
      <c r="S229" s="88" t="n"/>
    </row>
    <row r="230" customFormat="1" s="82">
      <c r="O230" s="89" t="n"/>
      <c r="S230" s="88" t="n"/>
    </row>
    <row r="231" customFormat="1" s="82">
      <c r="O231" s="89" t="n"/>
      <c r="S231" s="88" t="n"/>
    </row>
    <row r="232" customFormat="1" s="82">
      <c r="O232" s="89" t="n"/>
      <c r="S232" s="88" t="n"/>
    </row>
    <row r="233" customFormat="1" s="82">
      <c r="O233" s="89" t="n"/>
      <c r="S233" s="88" t="n"/>
    </row>
    <row r="234" customFormat="1" s="82">
      <c r="O234" s="89" t="n"/>
      <c r="S234" s="88" t="n"/>
    </row>
    <row r="235" customFormat="1" s="82">
      <c r="O235" s="89" t="n"/>
      <c r="S235" s="88" t="n"/>
    </row>
    <row r="236" customFormat="1" s="82">
      <c r="O236" s="89" t="n"/>
      <c r="S236" s="88" t="n"/>
    </row>
    <row r="237" customFormat="1" s="82">
      <c r="O237" s="89" t="n"/>
      <c r="S237" s="88" t="n"/>
    </row>
    <row r="238" customFormat="1" s="82">
      <c r="O238" s="89" t="n"/>
      <c r="S238" s="88" t="n"/>
    </row>
    <row r="239" customFormat="1" s="82">
      <c r="O239" s="89" t="n"/>
      <c r="S239" s="88" t="n"/>
    </row>
    <row r="240" customFormat="1" s="82">
      <c r="O240" s="89" t="n"/>
      <c r="S240" s="88" t="n"/>
    </row>
    <row r="241" customFormat="1" s="82">
      <c r="O241" s="89" t="n"/>
      <c r="S241" s="88" t="n"/>
    </row>
    <row r="242" customFormat="1" s="82">
      <c r="O242" s="89" t="n"/>
      <c r="S242" s="88" t="n"/>
    </row>
    <row r="243" customFormat="1" s="82">
      <c r="O243" s="89" t="n"/>
      <c r="S243" s="88" t="n"/>
    </row>
    <row r="244" customFormat="1" s="82">
      <c r="O244" s="89" t="n"/>
      <c r="S244" s="88" t="n"/>
    </row>
    <row r="245" customFormat="1" s="82">
      <c r="O245" s="89" t="n"/>
      <c r="S245" s="88" t="n"/>
    </row>
    <row r="246" customFormat="1" s="82">
      <c r="O246" s="89" t="n"/>
      <c r="S246" s="88" t="n"/>
    </row>
    <row r="247" customFormat="1" s="82">
      <c r="O247" s="89" t="n"/>
      <c r="S247" s="88" t="n"/>
    </row>
    <row r="248" customFormat="1" s="82">
      <c r="O248" s="89" t="n"/>
      <c r="S248" s="88" t="n"/>
    </row>
    <row r="249" customFormat="1" s="82">
      <c r="O249" s="89" t="n"/>
      <c r="S249" s="88" t="n"/>
    </row>
    <row r="250" customFormat="1" s="82">
      <c r="O250" s="89" t="n"/>
      <c r="S250" s="88" t="n"/>
    </row>
    <row r="251" customFormat="1" s="82">
      <c r="O251" s="89" t="n"/>
      <c r="S251" s="88" t="n"/>
    </row>
    <row r="252" customFormat="1" s="82">
      <c r="O252" s="89" t="n"/>
      <c r="S252" s="88" t="n"/>
    </row>
    <row r="253" customFormat="1" s="82">
      <c r="O253" s="89" t="n"/>
      <c r="S253" s="88" t="n"/>
    </row>
    <row r="254" customFormat="1" s="82">
      <c r="O254" s="89" t="n"/>
      <c r="S254" s="88" t="n"/>
    </row>
    <row r="255" customFormat="1" s="82">
      <c r="O255" s="89" t="n"/>
      <c r="S255" s="88" t="n"/>
    </row>
    <row r="256" customFormat="1" s="82">
      <c r="O256" s="89" t="n"/>
      <c r="S256" s="88" t="n"/>
    </row>
    <row r="257" customFormat="1" s="82">
      <c r="O257" s="89" t="n"/>
      <c r="S257" s="88" t="n"/>
    </row>
    <row r="258" customFormat="1" s="82">
      <c r="O258" s="89" t="n"/>
      <c r="S258" s="88" t="n"/>
    </row>
    <row r="259" customFormat="1" s="82">
      <c r="O259" s="89" t="n"/>
      <c r="S259" s="88" t="n"/>
    </row>
    <row r="260" customFormat="1" s="82">
      <c r="O260" s="89" t="n"/>
      <c r="S260" s="88" t="n"/>
    </row>
    <row r="261" customFormat="1" s="82">
      <c r="O261" s="89" t="n"/>
      <c r="S261" s="88" t="n"/>
    </row>
    <row r="262" customFormat="1" s="82">
      <c r="O262" s="89" t="n"/>
      <c r="S262" s="88" t="n"/>
    </row>
    <row r="263" customFormat="1" s="82">
      <c r="O263" s="89" t="n"/>
      <c r="S263" s="88" t="n"/>
    </row>
    <row r="264" customFormat="1" s="82">
      <c r="O264" s="89" t="n"/>
      <c r="S264" s="88" t="n"/>
    </row>
    <row r="265" customFormat="1" s="82">
      <c r="O265" s="89" t="n"/>
      <c r="S265" s="88" t="n"/>
    </row>
    <row r="266" customFormat="1" s="82">
      <c r="O266" s="89" t="n"/>
      <c r="S266" s="88" t="n"/>
    </row>
    <row r="267" customFormat="1" s="82">
      <c r="O267" s="89" t="n"/>
      <c r="S267" s="88" t="n"/>
    </row>
    <row r="268" customFormat="1" s="82">
      <c r="O268" s="89" t="n"/>
      <c r="S268" s="88" t="n"/>
    </row>
    <row r="269" customFormat="1" s="82">
      <c r="O269" s="89" t="n"/>
      <c r="S269" s="88" t="n"/>
    </row>
    <row r="270" customFormat="1" s="82">
      <c r="O270" s="89" t="n"/>
      <c r="S270" s="88" t="n"/>
    </row>
    <row r="271" customFormat="1" s="82">
      <c r="O271" s="89" t="n"/>
      <c r="S271" s="88" t="n"/>
    </row>
    <row r="272" customFormat="1" s="82">
      <c r="O272" s="89" t="n"/>
      <c r="S272" s="88" t="n"/>
    </row>
    <row r="273" customFormat="1" s="82">
      <c r="O273" s="89" t="n"/>
      <c r="S273" s="88" t="n"/>
    </row>
    <row r="274" customFormat="1" s="82">
      <c r="O274" s="89" t="n"/>
      <c r="S274" s="88" t="n"/>
    </row>
    <row r="275" customFormat="1" s="82">
      <c r="O275" s="89" t="n"/>
      <c r="S275" s="88" t="n"/>
    </row>
    <row r="276" customFormat="1" s="82">
      <c r="O276" s="89" t="n"/>
      <c r="S276" s="88" t="n"/>
    </row>
    <row r="277" customFormat="1" s="82">
      <c r="O277" s="89" t="n"/>
      <c r="S277" s="88" t="n"/>
    </row>
    <row r="278" customFormat="1" s="82">
      <c r="O278" s="89" t="n"/>
      <c r="S278" s="88" t="n"/>
    </row>
    <row r="279" customFormat="1" s="82">
      <c r="O279" s="89" t="n"/>
      <c r="S279" s="88" t="n"/>
    </row>
    <row r="280" customFormat="1" s="82">
      <c r="O280" s="89" t="n"/>
      <c r="S280" s="88" t="n"/>
    </row>
    <row r="281" customFormat="1" s="82">
      <c r="O281" s="89" t="n"/>
      <c r="S281" s="88" t="n"/>
    </row>
    <row r="282" customFormat="1" s="82">
      <c r="O282" s="89" t="n"/>
      <c r="S282" s="88" t="n"/>
    </row>
    <row r="283" customFormat="1" s="82">
      <c r="O283" s="89" t="n"/>
      <c r="S283" s="88" t="n"/>
    </row>
    <row r="284" customFormat="1" s="82">
      <c r="O284" s="89" t="n"/>
      <c r="S284" s="88" t="n"/>
    </row>
    <row r="285" customFormat="1" s="82">
      <c r="O285" s="89" t="n"/>
      <c r="S285" s="88" t="n"/>
    </row>
    <row r="286" customFormat="1" s="82">
      <c r="O286" s="89" t="n"/>
      <c r="S286" s="88" t="n"/>
    </row>
    <row r="287" customFormat="1" s="82">
      <c r="O287" s="89" t="n"/>
      <c r="S287" s="88" t="n"/>
    </row>
    <row r="288" customFormat="1" s="82">
      <c r="O288" s="89" t="n"/>
      <c r="S288" s="88" t="n"/>
    </row>
    <row r="289" customFormat="1" s="82">
      <c r="O289" s="89" t="n"/>
      <c r="S289" s="88" t="n"/>
    </row>
    <row r="290" customFormat="1" s="82">
      <c r="O290" s="89" t="n"/>
      <c r="S290" s="88" t="n"/>
    </row>
    <row r="291" customFormat="1" s="82">
      <c r="O291" s="89" t="n"/>
      <c r="S291" s="88" t="n"/>
    </row>
    <row r="292" customFormat="1" s="82">
      <c r="O292" s="89" t="n"/>
      <c r="S292" s="88" t="n"/>
    </row>
    <row r="293" customFormat="1" s="82">
      <c r="O293" s="89" t="n"/>
      <c r="S293" s="88" t="n"/>
    </row>
    <row r="294" customFormat="1" s="82">
      <c r="O294" s="89" t="n"/>
      <c r="S294" s="88" t="n"/>
    </row>
    <row r="295" customFormat="1" s="82">
      <c r="O295" s="89" t="n"/>
      <c r="S295" s="88" t="n"/>
    </row>
    <row r="296" customFormat="1" s="82">
      <c r="O296" s="89" t="n"/>
      <c r="S296" s="88" t="n"/>
    </row>
    <row r="297" customFormat="1" s="82">
      <c r="O297" s="89" t="n"/>
      <c r="S297" s="88" t="n"/>
    </row>
    <row r="298" customFormat="1" s="82">
      <c r="O298" s="89" t="n"/>
      <c r="S298" s="88" t="n"/>
    </row>
    <row r="299" customFormat="1" s="82">
      <c r="O299" s="89" t="n"/>
      <c r="S299" s="88" t="n"/>
    </row>
    <row r="300" customFormat="1" s="82">
      <c r="O300" s="89" t="n"/>
      <c r="S300" s="88" t="n"/>
    </row>
    <row r="301" customFormat="1" s="82">
      <c r="O301" s="89" t="n"/>
      <c r="S301" s="88" t="n"/>
    </row>
    <row r="302" customFormat="1" s="82">
      <c r="O302" s="89" t="n"/>
      <c r="S302" s="88" t="n"/>
    </row>
    <row r="303" customFormat="1" s="82">
      <c r="O303" s="89" t="n"/>
      <c r="S303" s="88" t="n"/>
    </row>
    <row r="304" customFormat="1" s="82">
      <c r="O304" s="89" t="n"/>
      <c r="S304" s="88" t="n"/>
    </row>
    <row r="305" customFormat="1" s="82">
      <c r="O305" s="89" t="n"/>
      <c r="S305" s="88" t="n"/>
    </row>
    <row r="306" customFormat="1" s="82">
      <c r="O306" s="89" t="n"/>
      <c r="S306" s="88" t="n"/>
    </row>
    <row r="307" customFormat="1" s="82">
      <c r="O307" s="89" t="n"/>
      <c r="S307" s="88" t="n"/>
    </row>
    <row r="308" customFormat="1" s="82">
      <c r="O308" s="89" t="n"/>
      <c r="S308" s="88" t="n"/>
    </row>
    <row r="309" customFormat="1" s="82">
      <c r="O309" s="89" t="n"/>
      <c r="S309" s="88" t="n"/>
    </row>
    <row r="310" customFormat="1" s="82">
      <c r="O310" s="89" t="n"/>
      <c r="S310" s="88" t="n"/>
    </row>
    <row r="311" customFormat="1" s="82">
      <c r="O311" s="89" t="n"/>
      <c r="S311" s="88" t="n"/>
    </row>
    <row r="312" customFormat="1" s="82">
      <c r="O312" s="89" t="n"/>
      <c r="S312" s="88" t="n"/>
    </row>
    <row r="313" customFormat="1" s="82">
      <c r="O313" s="89" t="n"/>
      <c r="S313" s="88" t="n"/>
    </row>
    <row r="314" customFormat="1" s="82">
      <c r="O314" s="89" t="n"/>
      <c r="S314" s="88" t="n"/>
    </row>
    <row r="315" customFormat="1" s="82">
      <c r="O315" s="89" t="n"/>
      <c r="S315" s="88" t="n"/>
    </row>
    <row r="316" customFormat="1" s="82">
      <c r="O316" s="89" t="n"/>
      <c r="S316" s="88" t="n"/>
    </row>
    <row r="317" customFormat="1" s="82">
      <c r="O317" s="89" t="n"/>
      <c r="S317" s="88" t="n"/>
    </row>
    <row r="318" customFormat="1" s="82">
      <c r="O318" s="89" t="n"/>
      <c r="S318" s="88" t="n"/>
    </row>
    <row r="319" customFormat="1" s="82">
      <c r="O319" s="89" t="n"/>
      <c r="S319" s="88" t="n"/>
    </row>
    <row r="320" customFormat="1" s="82">
      <c r="O320" s="89" t="n"/>
      <c r="S320" s="88" t="n"/>
    </row>
    <row r="321" customFormat="1" s="82">
      <c r="O321" s="89" t="n"/>
      <c r="S321" s="88" t="n"/>
    </row>
    <row r="322" customFormat="1" s="82">
      <c r="O322" s="89" t="n"/>
      <c r="S322" s="88" t="n"/>
    </row>
    <row r="323" customFormat="1" s="82">
      <c r="O323" s="89" t="n"/>
      <c r="S323" s="88" t="n"/>
    </row>
    <row r="324" customFormat="1" s="82">
      <c r="O324" s="89" t="n"/>
      <c r="S324" s="88" t="n"/>
    </row>
    <row r="325" customFormat="1" s="82">
      <c r="O325" s="89" t="n"/>
      <c r="S325" s="88" t="n"/>
    </row>
    <row r="326" customFormat="1" s="82">
      <c r="O326" s="89" t="n"/>
      <c r="S326" s="88" t="n"/>
    </row>
    <row r="327" customFormat="1" s="82">
      <c r="O327" s="89" t="n"/>
      <c r="S327" s="88" t="n"/>
    </row>
    <row r="328" customFormat="1" s="82">
      <c r="O328" s="89" t="n"/>
      <c r="S328" s="88" t="n"/>
    </row>
    <row r="329" customFormat="1" s="82">
      <c r="O329" s="89" t="n"/>
      <c r="S329" s="88" t="n"/>
    </row>
    <row r="330" customFormat="1" s="82">
      <c r="O330" s="89" t="n"/>
      <c r="S330" s="88" t="n"/>
    </row>
    <row r="331" customFormat="1" s="82">
      <c r="O331" s="89" t="n"/>
      <c r="S331" s="88" t="n"/>
    </row>
    <row r="332" customFormat="1" s="82">
      <c r="O332" s="89" t="n"/>
      <c r="S332" s="88" t="n"/>
    </row>
    <row r="333" customFormat="1" s="82">
      <c r="O333" s="89" t="n"/>
      <c r="S333" s="88" t="n"/>
    </row>
    <row r="334" customFormat="1" s="82">
      <c r="O334" s="89" t="n"/>
      <c r="S334" s="88" t="n"/>
    </row>
    <row r="335" customFormat="1" s="82">
      <c r="O335" s="89" t="n"/>
      <c r="S335" s="88" t="n"/>
    </row>
    <row r="336" customFormat="1" s="82">
      <c r="O336" s="89" t="n"/>
      <c r="S336" s="88" t="n"/>
    </row>
    <row r="337" customFormat="1" s="82">
      <c r="O337" s="89" t="n"/>
      <c r="S337" s="88" t="n"/>
    </row>
    <row r="338" customFormat="1" s="82">
      <c r="O338" s="89" t="n"/>
      <c r="S338" s="88" t="n"/>
    </row>
    <row r="339" customFormat="1" s="82">
      <c r="O339" s="89" t="n"/>
      <c r="S339" s="88" t="n"/>
    </row>
    <row r="340" customFormat="1" s="82">
      <c r="O340" s="89" t="n"/>
      <c r="S340" s="88" t="n"/>
    </row>
    <row r="341" customFormat="1" s="82">
      <c r="O341" s="89" t="n"/>
      <c r="S341" s="88" t="n"/>
    </row>
    <row r="342" customFormat="1" s="82">
      <c r="O342" s="89" t="n"/>
      <c r="S342" s="88" t="n"/>
    </row>
    <row r="343" customFormat="1" s="82">
      <c r="O343" s="89" t="n"/>
      <c r="S343" s="88" t="n"/>
    </row>
    <row r="344" customFormat="1" s="82">
      <c r="O344" s="89" t="n"/>
      <c r="S344" s="88" t="n"/>
    </row>
    <row r="345" customFormat="1" s="82">
      <c r="O345" s="89" t="n"/>
      <c r="S345" s="88" t="n"/>
    </row>
    <row r="346" customFormat="1" s="82">
      <c r="O346" s="89" t="n"/>
      <c r="S346" s="88" t="n"/>
    </row>
    <row r="347" customFormat="1" s="82">
      <c r="O347" s="89" t="n"/>
      <c r="S347" s="88" t="n"/>
    </row>
    <row r="348" customFormat="1" s="82">
      <c r="O348" s="89" t="n"/>
      <c r="S348" s="88" t="n"/>
    </row>
    <row r="349" customFormat="1" s="82">
      <c r="O349" s="89" t="n"/>
      <c r="S349" s="88" t="n"/>
    </row>
    <row r="350" customFormat="1" s="82">
      <c r="O350" s="89" t="n"/>
      <c r="S350" s="88" t="n"/>
    </row>
    <row r="351" customFormat="1" s="82">
      <c r="O351" s="89" t="n"/>
      <c r="S351" s="88" t="n"/>
    </row>
    <row r="352" customFormat="1" s="82">
      <c r="O352" s="89" t="n"/>
      <c r="S352" s="88" t="n"/>
    </row>
    <row r="353" customFormat="1" s="82">
      <c r="O353" s="89" t="n"/>
      <c r="S353" s="88" t="n"/>
    </row>
    <row r="354" customFormat="1" s="82">
      <c r="O354" s="89" t="n"/>
      <c r="S354" s="88" t="n"/>
    </row>
    <row r="355" customFormat="1" s="82">
      <c r="O355" s="89" t="n"/>
      <c r="S355" s="88" t="n"/>
    </row>
    <row r="356" customFormat="1" s="82">
      <c r="O356" s="89" t="n"/>
      <c r="S356" s="88" t="n"/>
    </row>
    <row r="357" customFormat="1" s="82">
      <c r="O357" s="89" t="n"/>
      <c r="S357" s="88" t="n"/>
    </row>
    <row r="358" customFormat="1" s="82">
      <c r="O358" s="89" t="n"/>
      <c r="S358" s="88" t="n"/>
    </row>
    <row r="359" customFormat="1" s="82">
      <c r="O359" s="89" t="n"/>
      <c r="S359" s="88" t="n"/>
    </row>
    <row r="360" customFormat="1" s="82">
      <c r="O360" s="89" t="n"/>
      <c r="S360" s="88" t="n"/>
    </row>
    <row r="361" customFormat="1" s="82">
      <c r="O361" s="89" t="n"/>
      <c r="S361" s="88" t="n"/>
    </row>
    <row r="362" customFormat="1" s="82">
      <c r="O362" s="89" t="n"/>
      <c r="S362" s="88" t="n"/>
    </row>
    <row r="363" customFormat="1" s="82">
      <c r="O363" s="89" t="n"/>
      <c r="S363" s="88" t="n"/>
    </row>
    <row r="364" customFormat="1" s="82">
      <c r="O364" s="89" t="n"/>
      <c r="S364" s="88" t="n"/>
    </row>
    <row r="365" customFormat="1" s="82">
      <c r="O365" s="89" t="n"/>
      <c r="S365" s="88" t="n"/>
    </row>
    <row r="366" customFormat="1" s="82">
      <c r="O366" s="89" t="n"/>
      <c r="S366" s="88" t="n"/>
    </row>
    <row r="367" customFormat="1" s="82">
      <c r="O367" s="89" t="n"/>
      <c r="S367" s="88" t="n"/>
    </row>
    <row r="368" customFormat="1" s="82">
      <c r="O368" s="89" t="n"/>
      <c r="S368" s="88" t="n"/>
    </row>
    <row r="369" customFormat="1" s="82">
      <c r="O369" s="89" t="n"/>
      <c r="S369" s="88" t="n"/>
    </row>
    <row r="370" customFormat="1" s="82">
      <c r="O370" s="89" t="n"/>
      <c r="S370" s="88" t="n"/>
    </row>
    <row r="371" customFormat="1" s="82">
      <c r="O371" s="89" t="n"/>
      <c r="S371" s="88" t="n"/>
    </row>
    <row r="372" customFormat="1" s="82">
      <c r="O372" s="89" t="n"/>
      <c r="S372" s="88" t="n"/>
    </row>
    <row r="373" customFormat="1" s="82">
      <c r="O373" s="89" t="n"/>
      <c r="S373" s="88" t="n"/>
    </row>
    <row r="374" customFormat="1" s="82">
      <c r="O374" s="89" t="n"/>
      <c r="S374" s="88" t="n"/>
    </row>
    <row r="375" customFormat="1" s="82">
      <c r="O375" s="89" t="n"/>
      <c r="S375" s="88" t="n"/>
    </row>
    <row r="376" customFormat="1" s="82">
      <c r="O376" s="89" t="n"/>
      <c r="S376" s="88" t="n"/>
    </row>
    <row r="377" customFormat="1" s="82">
      <c r="O377" s="89" t="n"/>
      <c r="S377" s="88" t="n"/>
    </row>
    <row r="378" customFormat="1" s="82">
      <c r="O378" s="89" t="n"/>
      <c r="S378" s="88" t="n"/>
    </row>
    <row r="379" customFormat="1" s="82">
      <c r="O379" s="89" t="n"/>
      <c r="S379" s="88" t="n"/>
    </row>
    <row r="380" customFormat="1" s="82">
      <c r="O380" s="89" t="n"/>
      <c r="S380" s="88" t="n"/>
    </row>
    <row r="381" customFormat="1" s="82">
      <c r="O381" s="89" t="n"/>
      <c r="S381" s="88" t="n"/>
    </row>
    <row r="382" customFormat="1" s="82">
      <c r="O382" s="89" t="n"/>
      <c r="S382" s="88" t="n"/>
    </row>
    <row r="383" customFormat="1" s="82">
      <c r="O383" s="89" t="n"/>
      <c r="S383" s="88" t="n"/>
    </row>
    <row r="384" customFormat="1" s="82">
      <c r="O384" s="89" t="n"/>
      <c r="S384" s="88" t="n"/>
    </row>
    <row r="385" customFormat="1" s="82">
      <c r="O385" s="89" t="n"/>
      <c r="S385" s="88" t="n"/>
    </row>
    <row r="386" customFormat="1" s="82">
      <c r="O386" s="89" t="n"/>
      <c r="S386" s="88" t="n"/>
    </row>
    <row r="387" customFormat="1" s="82">
      <c r="O387" s="89" t="n"/>
      <c r="S387" s="88" t="n"/>
    </row>
    <row r="388" customFormat="1" s="82">
      <c r="O388" s="89" t="n"/>
      <c r="S388" s="88" t="n"/>
    </row>
    <row r="389" customFormat="1" s="82">
      <c r="O389" s="89" t="n"/>
      <c r="S389" s="88" t="n"/>
    </row>
    <row r="390" customFormat="1" s="82">
      <c r="O390" s="89" t="n"/>
      <c r="S390" s="88" t="n"/>
    </row>
    <row r="391" customFormat="1" s="82">
      <c r="O391" s="89" t="n"/>
      <c r="S391" s="88" t="n"/>
    </row>
    <row r="392" customFormat="1" s="82">
      <c r="O392" s="89" t="n"/>
      <c r="S392" s="88" t="n"/>
    </row>
    <row r="393" customFormat="1" s="82">
      <c r="O393" s="89" t="n"/>
      <c r="S393" s="88" t="n"/>
    </row>
    <row r="394" customFormat="1" s="82">
      <c r="O394" s="89" t="n"/>
      <c r="S394" s="88" t="n"/>
    </row>
    <row r="395" customFormat="1" s="82">
      <c r="O395" s="89" t="n"/>
      <c r="S395" s="88" t="n"/>
    </row>
    <row r="396" customFormat="1" s="82">
      <c r="O396" s="89" t="n"/>
      <c r="S396" s="88" t="n"/>
    </row>
    <row r="397" customFormat="1" s="82">
      <c r="O397" s="89" t="n"/>
      <c r="S397" s="88" t="n"/>
    </row>
    <row r="398" customFormat="1" s="82">
      <c r="O398" s="89" t="n"/>
      <c r="S398" s="88" t="n"/>
    </row>
    <row r="399" customFormat="1" s="82">
      <c r="O399" s="89" t="n"/>
      <c r="S399" s="88" t="n"/>
    </row>
    <row r="400" customFormat="1" s="82">
      <c r="O400" s="89" t="n"/>
      <c r="S400" s="88" t="n"/>
    </row>
    <row r="401" customFormat="1" s="82">
      <c r="O401" s="89" t="n"/>
      <c r="S401" s="88" t="n"/>
    </row>
    <row r="402" customFormat="1" s="82">
      <c r="O402" s="89" t="n"/>
      <c r="S402" s="88" t="n"/>
    </row>
    <row r="403" customFormat="1" s="82">
      <c r="O403" s="89" t="n"/>
      <c r="S403" s="88" t="n"/>
    </row>
    <row r="404" customFormat="1" s="82">
      <c r="O404" s="89" t="n"/>
      <c r="S404" s="88" t="n"/>
    </row>
    <row r="405" customFormat="1" s="82">
      <c r="O405" s="89" t="n"/>
      <c r="S405" s="88" t="n"/>
    </row>
    <row r="406" customFormat="1" s="82">
      <c r="O406" s="89" t="n"/>
      <c r="S406" s="88" t="n"/>
    </row>
    <row r="407" customFormat="1" s="82">
      <c r="O407" s="89" t="n"/>
      <c r="S407" s="88" t="n"/>
    </row>
    <row r="408" customFormat="1" s="82">
      <c r="O408" s="89" t="n"/>
      <c r="S408" s="88" t="n"/>
    </row>
    <row r="409" customFormat="1" s="82">
      <c r="O409" s="89" t="n"/>
      <c r="S409" s="88" t="n"/>
    </row>
    <row r="410" customFormat="1" s="82">
      <c r="O410" s="89" t="n"/>
      <c r="S410" s="88" t="n"/>
    </row>
    <row r="411" customFormat="1" s="82">
      <c r="O411" s="89" t="n"/>
      <c r="S411" s="88" t="n"/>
    </row>
    <row r="412" customFormat="1" s="82">
      <c r="O412" s="89" t="n"/>
      <c r="S412" s="88" t="n"/>
    </row>
    <row r="413" customFormat="1" s="82">
      <c r="O413" s="89" t="n"/>
      <c r="S413" s="88" t="n"/>
    </row>
    <row r="414" customFormat="1" s="82">
      <c r="O414" s="89" t="n"/>
      <c r="S414" s="88" t="n"/>
    </row>
    <row r="415" customFormat="1" s="82">
      <c r="O415" s="89" t="n"/>
      <c r="S415" s="88" t="n"/>
    </row>
    <row r="416" customFormat="1" s="82">
      <c r="O416" s="89" t="n"/>
      <c r="S416" s="88" t="n"/>
    </row>
    <row r="417" customFormat="1" s="82">
      <c r="O417" s="89" t="n"/>
      <c r="S417" s="88" t="n"/>
    </row>
    <row r="418" customFormat="1" s="82">
      <c r="O418" s="89" t="n"/>
      <c r="S418" s="88" t="n"/>
    </row>
    <row r="419" customFormat="1" s="82">
      <c r="O419" s="89" t="n"/>
      <c r="S419" s="88" t="n"/>
    </row>
    <row r="420" customFormat="1" s="82">
      <c r="O420" s="89" t="n"/>
      <c r="S420" s="88" t="n"/>
    </row>
    <row r="421" customFormat="1" s="82">
      <c r="O421" s="89" t="n"/>
      <c r="S421" s="88" t="n"/>
    </row>
    <row r="422" customFormat="1" s="82">
      <c r="O422" s="89" t="n"/>
      <c r="S422" s="88" t="n"/>
    </row>
    <row r="423" customFormat="1" s="82">
      <c r="O423" s="89" t="n"/>
      <c r="S423" s="88" t="n"/>
    </row>
    <row r="424" customFormat="1" s="82">
      <c r="O424" s="89" t="n"/>
      <c r="S424" s="88" t="n"/>
    </row>
    <row r="425" customFormat="1" s="82">
      <c r="O425" s="89" t="n"/>
      <c r="S425" s="88" t="n"/>
    </row>
    <row r="426" customFormat="1" s="82">
      <c r="O426" s="89" t="n"/>
      <c r="S426" s="88" t="n"/>
    </row>
    <row r="427" customFormat="1" s="82">
      <c r="O427" s="89" t="n"/>
      <c r="S427" s="88" t="n"/>
    </row>
    <row r="428" customFormat="1" s="82">
      <c r="O428" s="89" t="n"/>
      <c r="S428" s="88" t="n"/>
    </row>
    <row r="429" customFormat="1" s="82">
      <c r="O429" s="89" t="n"/>
      <c r="S429" s="88" t="n"/>
    </row>
    <row r="430" customFormat="1" s="82">
      <c r="O430" s="89" t="n"/>
      <c r="S430" s="88" t="n"/>
    </row>
    <row r="431" customFormat="1" s="82">
      <c r="O431" s="89" t="n"/>
      <c r="S431" s="88" t="n"/>
    </row>
    <row r="432" customFormat="1" s="82">
      <c r="O432" s="89" t="n"/>
      <c r="S432" s="88" t="n"/>
    </row>
    <row r="433" customFormat="1" s="82">
      <c r="O433" s="89" t="n"/>
      <c r="S433" s="88" t="n"/>
    </row>
    <row r="434" customFormat="1" s="82">
      <c r="O434" s="89" t="n"/>
      <c r="S434" s="88" t="n"/>
    </row>
    <row r="435" customFormat="1" s="82">
      <c r="O435" s="89" t="n"/>
      <c r="S435" s="88" t="n"/>
    </row>
    <row r="436" customFormat="1" s="82">
      <c r="O436" s="89" t="n"/>
      <c r="S436" s="88" t="n"/>
    </row>
    <row r="437" customFormat="1" s="82">
      <c r="O437" s="89" t="n"/>
      <c r="S437" s="88" t="n"/>
    </row>
    <row r="438" customFormat="1" s="82">
      <c r="O438" s="89" t="n"/>
      <c r="S438" s="88" t="n"/>
    </row>
    <row r="439" customFormat="1" s="82">
      <c r="O439" s="89" t="n"/>
      <c r="S439" s="88" t="n"/>
    </row>
    <row r="440" customFormat="1" s="82">
      <c r="O440" s="89" t="n"/>
      <c r="S440" s="88" t="n"/>
    </row>
    <row r="441" customFormat="1" s="82">
      <c r="O441" s="89" t="n"/>
      <c r="S441" s="88" t="n"/>
    </row>
    <row r="442" customFormat="1" s="82">
      <c r="O442" s="89" t="n"/>
      <c r="S442" s="88" t="n"/>
    </row>
    <row r="443" customFormat="1" s="82">
      <c r="O443" s="89" t="n"/>
      <c r="S443" s="88" t="n"/>
    </row>
    <row r="444" customFormat="1" s="82">
      <c r="O444" s="89" t="n"/>
      <c r="S444" s="88" t="n"/>
    </row>
    <row r="445" customFormat="1" s="82">
      <c r="O445" s="89" t="n"/>
      <c r="S445" s="88" t="n"/>
    </row>
    <row r="446" customFormat="1" s="82">
      <c r="O446" s="89" t="n"/>
      <c r="S446" s="88" t="n"/>
    </row>
    <row r="447" customFormat="1" s="82">
      <c r="O447" s="89" t="n"/>
      <c r="S447" s="88" t="n"/>
    </row>
    <row r="448" customFormat="1" s="82">
      <c r="O448" s="89" t="n"/>
      <c r="S448" s="88" t="n"/>
    </row>
    <row r="449" customFormat="1" s="82">
      <c r="O449" s="89" t="n"/>
      <c r="S449" s="88" t="n"/>
    </row>
    <row r="450" customFormat="1" s="82">
      <c r="O450" s="89" t="n"/>
      <c r="S450" s="88" t="n"/>
    </row>
    <row r="451" customFormat="1" s="82">
      <c r="O451" s="89" t="n"/>
    </row>
    <row r="452" customFormat="1" s="82">
      <c r="O452" s="89" t="n"/>
    </row>
    <row r="453" customFormat="1" s="82">
      <c r="O453" s="89" t="n"/>
    </row>
    <row r="454" customFormat="1" s="82">
      <c r="O454" s="89" t="n"/>
    </row>
    <row r="455" customFormat="1" s="82">
      <c r="O455" s="89" t="n"/>
    </row>
    <row r="456" customFormat="1" s="82">
      <c r="O456" s="89" t="n"/>
    </row>
    <row r="457" customFormat="1" s="82">
      <c r="O457" s="89" t="n"/>
    </row>
    <row r="458" customFormat="1" s="82">
      <c r="O458" s="89" t="n"/>
    </row>
    <row r="459" customFormat="1" s="82">
      <c r="O459" s="89" t="n"/>
    </row>
    <row r="460" customFormat="1" s="82">
      <c r="O460" s="89" t="n"/>
    </row>
    <row r="461" customFormat="1" s="82">
      <c r="O461" s="89" t="n"/>
    </row>
    <row r="462" customFormat="1" s="82">
      <c r="O462" s="89" t="n"/>
    </row>
    <row r="463" customFormat="1" s="82">
      <c r="O463" s="89" t="n"/>
    </row>
    <row r="464" customFormat="1" s="82">
      <c r="O464" s="89" t="n"/>
    </row>
    <row r="465" customFormat="1" s="82">
      <c r="O465" s="89" t="n"/>
    </row>
    <row r="466" customFormat="1" s="82">
      <c r="O466" s="89" t="n"/>
    </row>
    <row r="467" customFormat="1" s="82">
      <c r="O467" s="89" t="n"/>
    </row>
    <row r="468" customFormat="1" s="82">
      <c r="O468" s="89" t="n"/>
    </row>
    <row r="469" customFormat="1" s="82">
      <c r="O469" s="89" t="n"/>
    </row>
    <row r="470" customFormat="1" s="82">
      <c r="O470" s="89" t="n"/>
    </row>
    <row r="471" customFormat="1" s="82">
      <c r="O471" s="89" t="n"/>
    </row>
    <row r="472" customFormat="1" s="82">
      <c r="O472" s="89" t="n"/>
    </row>
    <row r="473" customFormat="1" s="82">
      <c r="O473" s="89" t="n"/>
    </row>
    <row r="474" customFormat="1" s="82">
      <c r="O474" s="89" t="n"/>
    </row>
    <row r="475" customFormat="1" s="82">
      <c r="O475" s="89" t="n"/>
    </row>
    <row r="476" customFormat="1" s="82">
      <c r="O476" s="89" t="n"/>
    </row>
    <row r="477" customFormat="1" s="82">
      <c r="O477" s="89" t="n"/>
    </row>
    <row r="478" customFormat="1" s="82">
      <c r="O478" s="89" t="n"/>
    </row>
    <row r="479" customFormat="1" s="82">
      <c r="O479" s="89" t="n"/>
    </row>
    <row r="480" customFormat="1" s="82">
      <c r="O480" s="89" t="n"/>
    </row>
    <row r="481" customFormat="1" s="82">
      <c r="O481" s="89" t="n"/>
    </row>
    <row r="482" customFormat="1" s="82">
      <c r="O482" s="89" t="n"/>
    </row>
    <row r="483" customFormat="1" s="82">
      <c r="O483" s="89" t="n"/>
    </row>
    <row r="484" customFormat="1" s="82">
      <c r="O484" s="89" t="n"/>
    </row>
    <row r="485" customFormat="1" s="82">
      <c r="O485" s="89" t="n"/>
    </row>
    <row r="486" customFormat="1" s="82">
      <c r="O486" s="89" t="n"/>
    </row>
    <row r="487" customFormat="1" s="82">
      <c r="O487" s="89" t="n"/>
    </row>
    <row r="488" customFormat="1" s="82">
      <c r="O488" s="89" t="n"/>
    </row>
    <row r="489" customFormat="1" s="82">
      <c r="O489" s="89" t="n"/>
    </row>
    <row r="490" customFormat="1" s="82">
      <c r="O490" s="89" t="n"/>
    </row>
    <row r="491" customFormat="1" s="82">
      <c r="O491" s="89" t="n"/>
    </row>
    <row r="492" customFormat="1" s="82">
      <c r="O492" s="89" t="n"/>
    </row>
    <row r="493" customFormat="1" s="82">
      <c r="O493" s="89" t="n"/>
    </row>
    <row r="494" customFormat="1" s="82">
      <c r="O494" s="89" t="n"/>
    </row>
    <row r="495" customFormat="1" s="82">
      <c r="O495" s="89" t="n"/>
    </row>
    <row r="496" customFormat="1" s="82">
      <c r="O496" s="89" t="n"/>
    </row>
    <row r="497" customFormat="1" s="82">
      <c r="O497" s="89" t="n"/>
    </row>
    <row r="498" customFormat="1" s="82">
      <c r="O498" s="89" t="n"/>
    </row>
    <row r="499" customFormat="1" s="82">
      <c r="O499" s="89" t="n"/>
    </row>
    <row r="500" customFormat="1" s="82">
      <c r="O500" s="89" t="n"/>
    </row>
    <row r="501" customFormat="1" s="82">
      <c r="O501" s="89" t="n"/>
    </row>
    <row r="502" customFormat="1" s="82">
      <c r="O502" s="89" t="n"/>
    </row>
    <row r="503" customFormat="1" s="82">
      <c r="O503" s="89" t="n"/>
    </row>
    <row r="504" customFormat="1" s="82">
      <c r="O504" s="89" t="n"/>
    </row>
    <row r="505" customFormat="1" s="82">
      <c r="O505" s="89" t="n"/>
    </row>
    <row r="506" customFormat="1" s="82">
      <c r="O506" s="89" t="n"/>
    </row>
    <row r="507" customFormat="1" s="82">
      <c r="O507" s="89" t="n"/>
    </row>
    <row r="508" customFormat="1" s="82">
      <c r="O508" s="89" t="n"/>
    </row>
    <row r="509" customFormat="1" s="82">
      <c r="O509" s="89" t="n"/>
    </row>
    <row r="510" customFormat="1" s="82">
      <c r="O510" s="89" t="n"/>
    </row>
    <row r="511" customFormat="1" s="82">
      <c r="O511" s="89" t="n"/>
    </row>
    <row r="512" customFormat="1" s="82">
      <c r="O512" s="89" t="n"/>
    </row>
    <row r="513" customFormat="1" s="82">
      <c r="O513" s="89" t="n"/>
    </row>
    <row r="514" customFormat="1" s="82">
      <c r="O514" s="89" t="n"/>
    </row>
    <row r="515" customFormat="1" s="82">
      <c r="O515" s="89" t="n"/>
    </row>
    <row r="516" customFormat="1" s="82">
      <c r="O516" s="89" t="n"/>
    </row>
    <row r="517" customFormat="1" s="82">
      <c r="O517" s="89" t="n"/>
    </row>
    <row r="518" customFormat="1" s="82">
      <c r="O518" s="89" t="n"/>
    </row>
    <row r="519" customFormat="1" s="82">
      <c r="O519" s="89" t="n"/>
    </row>
    <row r="520" customFormat="1" s="82">
      <c r="O520" s="89" t="n"/>
    </row>
    <row r="521" customFormat="1" s="82">
      <c r="O521" s="89" t="n"/>
    </row>
    <row r="522" customFormat="1" s="82">
      <c r="O522" s="89" t="n"/>
    </row>
    <row r="523" customFormat="1" s="82">
      <c r="O523" s="89" t="n"/>
    </row>
    <row r="524" customFormat="1" s="82">
      <c r="O524" s="89" t="n"/>
    </row>
    <row r="525" customFormat="1" s="82">
      <c r="O525" s="89" t="n"/>
    </row>
    <row r="526" customFormat="1" s="82">
      <c r="O526" s="89" t="n"/>
    </row>
    <row r="527" customFormat="1" s="82">
      <c r="O527" s="89" t="n"/>
    </row>
    <row r="528" customFormat="1" s="82">
      <c r="O528" s="89" t="n"/>
    </row>
    <row r="529" customFormat="1" s="82">
      <c r="O529" s="89" t="n"/>
    </row>
    <row r="530" customFormat="1" s="82">
      <c r="O530" s="89" t="n"/>
    </row>
    <row r="531" customFormat="1" s="82">
      <c r="O531" s="89" t="n"/>
    </row>
    <row r="532" customFormat="1" s="82">
      <c r="O532" s="89" t="n"/>
    </row>
    <row r="533" customFormat="1" s="82">
      <c r="O533" s="89" t="n"/>
    </row>
    <row r="534" customFormat="1" s="82">
      <c r="O534" s="89" t="n"/>
    </row>
    <row r="535" customFormat="1" s="82">
      <c r="O535" s="89" t="n"/>
    </row>
    <row r="536" customFormat="1" s="82">
      <c r="O536" s="89" t="n"/>
    </row>
    <row r="537" customFormat="1" s="82">
      <c r="O537" s="89" t="n"/>
    </row>
    <row r="538" customFormat="1" s="82">
      <c r="O538" s="89" t="n"/>
    </row>
    <row r="539" customFormat="1" s="82">
      <c r="O539" s="89" t="n"/>
    </row>
    <row r="540" customFormat="1" s="82">
      <c r="O540" s="89" t="n"/>
    </row>
    <row r="541" customFormat="1" s="82">
      <c r="O541" s="89" t="n"/>
    </row>
    <row r="542" customFormat="1" s="82">
      <c r="O542" s="89" t="n"/>
    </row>
    <row r="543" customFormat="1" s="82">
      <c r="O543" s="89" t="n"/>
    </row>
    <row r="544" customFormat="1" s="82">
      <c r="O544" s="89" t="n"/>
    </row>
    <row r="545" customFormat="1" s="82">
      <c r="O545" s="89" t="n"/>
    </row>
    <row r="546" customFormat="1" s="82">
      <c r="O546" s="89" t="n"/>
    </row>
    <row r="547" customFormat="1" s="82">
      <c r="O547" s="89" t="n"/>
    </row>
    <row r="548" customFormat="1" s="82">
      <c r="O548" s="89" t="n"/>
    </row>
    <row r="549" customFormat="1" s="82">
      <c r="O549" s="89" t="n"/>
    </row>
    <row r="550" customFormat="1" s="82">
      <c r="O550" s="89" t="n"/>
    </row>
    <row r="551" customFormat="1" s="82">
      <c r="O551" s="89" t="n"/>
    </row>
    <row r="552" customFormat="1" s="82">
      <c r="O552" s="89" t="n"/>
    </row>
    <row r="553" customFormat="1" s="82">
      <c r="O553" s="89" t="n"/>
    </row>
    <row r="554" customFormat="1" s="82">
      <c r="O554" s="89" t="n"/>
    </row>
    <row r="555" customFormat="1" s="82">
      <c r="O555" s="89" t="n"/>
    </row>
    <row r="556" customFormat="1" s="82">
      <c r="O556" s="89" t="n"/>
    </row>
    <row r="557" customFormat="1" s="82">
      <c r="O557" s="89" t="n"/>
    </row>
    <row r="558" customFormat="1" s="82">
      <c r="O558" s="89" t="n"/>
    </row>
    <row r="559" customFormat="1" s="82">
      <c r="O559" s="89" t="n"/>
    </row>
    <row r="560" customFormat="1" s="82">
      <c r="O560" s="89" t="n"/>
    </row>
    <row r="561" customFormat="1" s="82">
      <c r="O561" s="89" t="n"/>
    </row>
    <row r="562" customFormat="1" s="82">
      <c r="O562" s="89" t="n"/>
    </row>
    <row r="563" customFormat="1" s="82">
      <c r="O563" s="89" t="n"/>
    </row>
    <row r="564" customFormat="1" s="82">
      <c r="O564" s="89" t="n"/>
    </row>
    <row r="565" customFormat="1" s="82">
      <c r="O565" s="89" t="n"/>
    </row>
    <row r="566" customFormat="1" s="82">
      <c r="O566" s="89" t="n"/>
    </row>
    <row r="567" customFormat="1" s="82">
      <c r="O567" s="89" t="n"/>
    </row>
    <row r="568" customFormat="1" s="82">
      <c r="O568" s="89" t="n"/>
    </row>
    <row r="569" customFormat="1" s="82">
      <c r="O569" s="89" t="n"/>
    </row>
    <row r="570" customFormat="1" s="82">
      <c r="O570" s="89" t="n"/>
    </row>
    <row r="571" customFormat="1" s="82">
      <c r="O571" s="89" t="n"/>
    </row>
    <row r="572" customFormat="1" s="82">
      <c r="O572" s="89" t="n"/>
    </row>
    <row r="573" customFormat="1" s="82">
      <c r="O573" s="89" t="n"/>
    </row>
    <row r="574" customFormat="1" s="82">
      <c r="O574" s="89" t="n"/>
    </row>
    <row r="575" customFormat="1" s="82">
      <c r="O575" s="89" t="n"/>
    </row>
    <row r="576" customFormat="1" s="82">
      <c r="O576" s="89" t="n"/>
    </row>
    <row r="577" customFormat="1" s="82">
      <c r="O577" s="89" t="n"/>
    </row>
    <row r="578" customFormat="1" s="82">
      <c r="O578" s="89" t="n"/>
    </row>
    <row r="579" customFormat="1" s="82">
      <c r="O579" s="89" t="n"/>
    </row>
    <row r="580" customFormat="1" s="82">
      <c r="O580" s="89" t="n"/>
    </row>
    <row r="581" customFormat="1" s="82">
      <c r="O581" s="89" t="n"/>
    </row>
    <row r="582" customFormat="1" s="82">
      <c r="O582" s="89" t="n"/>
    </row>
    <row r="583" customFormat="1" s="82">
      <c r="O583" s="89" t="n"/>
    </row>
    <row r="584" customFormat="1" s="82">
      <c r="O584" s="89" t="n"/>
    </row>
    <row r="585" customFormat="1" s="82">
      <c r="O585" s="89" t="n"/>
    </row>
    <row r="586" customFormat="1" s="82">
      <c r="O586" s="89" t="n"/>
    </row>
    <row r="587" customFormat="1" s="82">
      <c r="O587" s="89" t="n"/>
    </row>
    <row r="588" customFormat="1" s="82">
      <c r="O588" s="89" t="n"/>
    </row>
    <row r="589" customFormat="1" s="82">
      <c r="O589" s="89" t="n"/>
    </row>
    <row r="590" customFormat="1" s="82">
      <c r="O590" s="89" t="n"/>
    </row>
    <row r="591" customFormat="1" s="82">
      <c r="O591" s="89" t="n"/>
    </row>
    <row r="592" customFormat="1" s="82">
      <c r="O592" s="89" t="n"/>
    </row>
    <row r="593" customFormat="1" s="82">
      <c r="O593" s="89" t="n"/>
    </row>
    <row r="594" customFormat="1" s="82">
      <c r="O594" s="89" t="n"/>
    </row>
    <row r="595" customFormat="1" s="82">
      <c r="O595" s="89" t="n"/>
    </row>
    <row r="596" customFormat="1" s="82">
      <c r="O596" s="89" t="n"/>
    </row>
    <row r="597" customFormat="1" s="82">
      <c r="O597" s="89" t="n"/>
    </row>
    <row r="598" customFormat="1" s="82">
      <c r="O598" s="89" t="n"/>
    </row>
    <row r="599" customFormat="1" s="82">
      <c r="O599" s="89" t="n"/>
    </row>
    <row r="600" customFormat="1" s="82">
      <c r="O600" s="89" t="n"/>
    </row>
    <row r="601" customFormat="1" s="82">
      <c r="O601" s="89" t="n"/>
    </row>
    <row r="602" customFormat="1" s="82">
      <c r="O602" s="89" t="n"/>
    </row>
    <row r="603" customFormat="1" s="82">
      <c r="O603" s="89" t="n"/>
    </row>
    <row r="604" customFormat="1" s="82">
      <c r="O604" s="89" t="n"/>
    </row>
    <row r="605" customFormat="1" s="82">
      <c r="O605" s="89" t="n"/>
    </row>
    <row r="606" customFormat="1" s="82">
      <c r="O606" s="89" t="n"/>
    </row>
    <row r="607" customFormat="1" s="82">
      <c r="O607" s="89" t="n"/>
    </row>
    <row r="608" customFormat="1" s="82">
      <c r="O608" s="89" t="n"/>
    </row>
    <row r="609" customFormat="1" s="82">
      <c r="O609" s="89" t="n"/>
    </row>
    <row r="610" customFormat="1" s="82">
      <c r="O610" s="89" t="n"/>
    </row>
    <row r="611" customFormat="1" s="82">
      <c r="O611" s="89" t="n"/>
    </row>
    <row r="612" customFormat="1" s="82">
      <c r="O612" s="89" t="n"/>
    </row>
    <row r="613" customFormat="1" s="82">
      <c r="O613" s="89" t="n"/>
    </row>
    <row r="614" customFormat="1" s="82">
      <c r="O614" s="89" t="n"/>
    </row>
    <row r="615" customFormat="1" s="82">
      <c r="O615" s="89" t="n"/>
    </row>
    <row r="616" customFormat="1" s="82">
      <c r="O616" s="89" t="n"/>
    </row>
    <row r="617" customFormat="1" s="82">
      <c r="O617" s="89" t="n"/>
    </row>
    <row r="618" customFormat="1" s="82">
      <c r="O618" s="89" t="n"/>
    </row>
    <row r="619" customFormat="1" s="82">
      <c r="O619" s="89" t="n"/>
    </row>
    <row r="620" customFormat="1" s="82">
      <c r="O620" s="89" t="n"/>
    </row>
    <row r="621" customFormat="1" s="82">
      <c r="O621" s="89" t="n"/>
    </row>
    <row r="622" customFormat="1" s="82">
      <c r="O622" s="89" t="n"/>
    </row>
    <row r="623" customFormat="1" s="82">
      <c r="O623" s="89" t="n"/>
    </row>
    <row r="624" customFormat="1" s="82">
      <c r="O624" s="89" t="n"/>
    </row>
    <row r="625" customFormat="1" s="82">
      <c r="O625" s="89" t="n"/>
    </row>
    <row r="626" customFormat="1" s="82">
      <c r="O626" s="89" t="n"/>
    </row>
    <row r="627" customFormat="1" s="82">
      <c r="O627" s="89" t="n"/>
    </row>
    <row r="628" customFormat="1" s="82">
      <c r="O628" s="89" t="n"/>
    </row>
    <row r="629" customFormat="1" s="82">
      <c r="O629" s="89" t="n"/>
    </row>
    <row r="630" customFormat="1" s="82">
      <c r="O630" s="89" t="n"/>
    </row>
    <row r="631" customFormat="1" s="82">
      <c r="O631" s="89" t="n"/>
    </row>
    <row r="632" customFormat="1" s="82">
      <c r="O632" s="89" t="n"/>
    </row>
    <row r="633" customFormat="1" s="82">
      <c r="O633" s="89" t="n"/>
    </row>
    <row r="634" customFormat="1" s="82">
      <c r="O634" s="89" t="n"/>
    </row>
    <row r="635" customFormat="1" s="82">
      <c r="O635" s="89" t="n"/>
    </row>
    <row r="636" customFormat="1" s="82">
      <c r="O636" s="89" t="n"/>
    </row>
    <row r="637" customFormat="1" s="82">
      <c r="O637" s="89" t="n"/>
    </row>
    <row r="638" customFormat="1" s="82">
      <c r="O638" s="89" t="n"/>
    </row>
    <row r="639" customFormat="1" s="82">
      <c r="O639" s="89" t="n"/>
    </row>
    <row r="640" customFormat="1" s="82">
      <c r="O640" s="89" t="n"/>
    </row>
    <row r="641" customFormat="1" s="82">
      <c r="O641" s="89" t="n"/>
    </row>
    <row r="642" customFormat="1" s="82">
      <c r="O642" s="89" t="n"/>
    </row>
    <row r="643" customFormat="1" s="82">
      <c r="O643" s="89" t="n"/>
    </row>
    <row r="644" customFormat="1" s="82">
      <c r="O644" s="89" t="n"/>
    </row>
    <row r="645" customFormat="1" s="82">
      <c r="O645" s="89" t="n"/>
    </row>
    <row r="646" customFormat="1" s="82">
      <c r="O646" s="89" t="n"/>
    </row>
    <row r="647" customFormat="1" s="82">
      <c r="O647" s="89" t="n"/>
    </row>
    <row r="648" customFormat="1" s="82">
      <c r="O648" s="89" t="n"/>
    </row>
    <row r="649" customFormat="1" s="82">
      <c r="O649" s="89" t="n"/>
    </row>
    <row r="650" customFormat="1" s="82">
      <c r="O650" s="89" t="n"/>
    </row>
    <row r="651" customFormat="1" s="82">
      <c r="O651" s="89" t="n"/>
    </row>
    <row r="652" customFormat="1" s="82">
      <c r="O652" s="89" t="n"/>
    </row>
    <row r="653" customFormat="1" s="82">
      <c r="O653" s="89" t="n"/>
    </row>
    <row r="654" customFormat="1" s="82">
      <c r="O654" s="89" t="n"/>
    </row>
    <row r="655" customFormat="1" s="82">
      <c r="O655" s="89" t="n"/>
    </row>
    <row r="656" customFormat="1" s="82">
      <c r="O656" s="89" t="n"/>
    </row>
    <row r="657" customFormat="1" s="82">
      <c r="O657" s="89" t="n"/>
    </row>
    <row r="658" customFormat="1" s="82">
      <c r="O658" s="89" t="n"/>
    </row>
    <row r="659" customFormat="1" s="82">
      <c r="O659" s="89" t="n"/>
    </row>
    <row r="660" customFormat="1" s="82">
      <c r="O660" s="89" t="n"/>
    </row>
    <row r="661" customFormat="1" s="82">
      <c r="O661" s="89" t="n"/>
    </row>
    <row r="662" customFormat="1" s="82">
      <c r="O662" s="89" t="n"/>
    </row>
    <row r="663" customFormat="1" s="82">
      <c r="O663" s="89" t="n"/>
    </row>
    <row r="664" customFormat="1" s="82">
      <c r="O664" s="89" t="n"/>
    </row>
    <row r="665" customFormat="1" s="82">
      <c r="O665" s="89" t="n"/>
    </row>
    <row r="666" customFormat="1" s="82">
      <c r="O666" s="89" t="n"/>
    </row>
    <row r="667" customFormat="1" s="82">
      <c r="O667" s="89" t="n"/>
    </row>
    <row r="668" customFormat="1" s="82">
      <c r="O668" s="89" t="n"/>
    </row>
    <row r="669" customFormat="1" s="82">
      <c r="O669" s="89" t="n"/>
    </row>
    <row r="670" customFormat="1" s="82">
      <c r="O670" s="89" t="n"/>
    </row>
    <row r="671" customFormat="1" s="82">
      <c r="O671" s="89" t="n"/>
    </row>
    <row r="672" customFormat="1" s="82">
      <c r="O672" s="89" t="n"/>
    </row>
    <row r="673" customFormat="1" s="82">
      <c r="O673" s="89" t="n"/>
    </row>
    <row r="674" customFormat="1" s="82">
      <c r="O674" s="89" t="n"/>
    </row>
    <row r="675" customFormat="1" s="82">
      <c r="O675" s="89" t="n"/>
    </row>
    <row r="676" customFormat="1" s="82">
      <c r="O676" s="89" t="n"/>
    </row>
    <row r="677" customFormat="1" s="82">
      <c r="O677" s="89" t="n"/>
    </row>
    <row r="678" customFormat="1" s="82">
      <c r="O678" s="89" t="n"/>
    </row>
    <row r="679" customFormat="1" s="82">
      <c r="O679" s="89" t="n"/>
    </row>
    <row r="680" customFormat="1" s="82">
      <c r="O680" s="89" t="n"/>
    </row>
    <row r="681" customFormat="1" s="82">
      <c r="O681" s="89" t="n"/>
    </row>
    <row r="682" customFormat="1" s="82">
      <c r="O682" s="89" t="n"/>
    </row>
    <row r="683" customFormat="1" s="82">
      <c r="O683" s="89" t="n"/>
    </row>
    <row r="684" customFormat="1" s="82">
      <c r="O684" s="89" t="n"/>
    </row>
    <row r="685" customFormat="1" s="82">
      <c r="O685" s="89" t="n"/>
    </row>
    <row r="686" customFormat="1" s="82">
      <c r="O686" s="89" t="n"/>
    </row>
    <row r="687" customFormat="1" s="82">
      <c r="O687" s="89" t="n"/>
    </row>
    <row r="688" customFormat="1" s="82">
      <c r="O688" s="89" t="n"/>
    </row>
    <row r="689" customFormat="1" s="82">
      <c r="O689" s="89" t="n"/>
    </row>
    <row r="690" customFormat="1" s="82">
      <c r="O690" s="89" t="n"/>
    </row>
    <row r="691" customFormat="1" s="82">
      <c r="O691" s="89" t="n"/>
    </row>
    <row r="692" customFormat="1" s="82">
      <c r="O692" s="89" t="n"/>
    </row>
    <row r="693" customFormat="1" s="82">
      <c r="O693" s="89" t="n"/>
    </row>
    <row r="694" customFormat="1" s="82">
      <c r="O694" s="89" t="n"/>
    </row>
    <row r="695" customFormat="1" s="82">
      <c r="O695" s="89" t="n"/>
    </row>
    <row r="696" customFormat="1" s="82">
      <c r="O696" s="89" t="n"/>
    </row>
    <row r="697" customFormat="1" s="82">
      <c r="O697" s="89" t="n"/>
    </row>
    <row r="698" customFormat="1" s="82">
      <c r="O698" s="89" t="n"/>
    </row>
    <row r="699" customFormat="1" s="82">
      <c r="O699" s="89" t="n"/>
    </row>
    <row r="700" customFormat="1" s="82">
      <c r="O700" s="89" t="n"/>
    </row>
    <row r="701" customFormat="1" s="82">
      <c r="O701" s="89" t="n"/>
    </row>
    <row r="702" customFormat="1" s="82">
      <c r="O702" s="89" t="n"/>
    </row>
    <row r="703" customFormat="1" s="82">
      <c r="O703" s="89" t="n"/>
    </row>
    <row r="704" customFormat="1" s="82">
      <c r="O704" s="89" t="n"/>
    </row>
    <row r="705" customFormat="1" s="82">
      <c r="O705" s="89" t="n"/>
    </row>
    <row r="706" customFormat="1" s="82">
      <c r="O706" s="89" t="n"/>
    </row>
    <row r="707" customFormat="1" s="82">
      <c r="O707" s="89" t="n"/>
    </row>
    <row r="708" customFormat="1" s="82">
      <c r="O708" s="89" t="n"/>
    </row>
    <row r="709" customFormat="1" s="82">
      <c r="O709" s="89" t="n"/>
    </row>
    <row r="710" customFormat="1" s="82">
      <c r="O710" s="89" t="n"/>
    </row>
    <row r="711" customFormat="1" s="82">
      <c r="O711" s="89" t="n"/>
    </row>
    <row r="712" customFormat="1" s="82">
      <c r="O712" s="89" t="n"/>
    </row>
    <row r="713" customFormat="1" s="82">
      <c r="O713" s="89" t="n"/>
    </row>
    <row r="714" customFormat="1" s="82">
      <c r="O714" s="89" t="n"/>
    </row>
    <row r="715" customFormat="1" s="82">
      <c r="O715" s="89" t="n"/>
    </row>
    <row r="716" customFormat="1" s="82">
      <c r="O716" s="89" t="n"/>
    </row>
    <row r="717" customFormat="1" s="82">
      <c r="O717" s="89" t="n"/>
    </row>
    <row r="718" customFormat="1" s="82">
      <c r="O718" s="89" t="n"/>
    </row>
    <row r="719" customFormat="1" s="82">
      <c r="O719" s="89" t="n"/>
    </row>
    <row r="720" customFormat="1" s="82">
      <c r="O720" s="89" t="n"/>
    </row>
    <row r="721" customFormat="1" s="82">
      <c r="O721" s="89" t="n"/>
    </row>
    <row r="722" customFormat="1" s="82">
      <c r="O722" s="89" t="n"/>
    </row>
    <row r="723" customFormat="1" s="82">
      <c r="O723" s="89" t="n"/>
    </row>
    <row r="724" customFormat="1" s="82">
      <c r="O724" s="89" t="n"/>
    </row>
    <row r="725" customFormat="1" s="82">
      <c r="O725" s="89" t="n"/>
    </row>
    <row r="726" customFormat="1" s="82">
      <c r="O726" s="89" t="n"/>
    </row>
    <row r="727" customFormat="1" s="82">
      <c r="O727" s="89" t="n"/>
    </row>
    <row r="728" customFormat="1" s="82">
      <c r="O728" s="89" t="n"/>
    </row>
    <row r="729" customFormat="1" s="82">
      <c r="O729" s="89" t="n"/>
    </row>
    <row r="730" customFormat="1" s="82">
      <c r="O730" s="89" t="n"/>
    </row>
    <row r="731" customFormat="1" s="82">
      <c r="O731" s="89" t="n"/>
    </row>
    <row r="732" customFormat="1" s="82">
      <c r="O732" s="89" t="n"/>
    </row>
    <row r="733" customFormat="1" s="82">
      <c r="O733" s="89" t="n"/>
    </row>
    <row r="734" customFormat="1" s="82">
      <c r="O734" s="89" t="n"/>
    </row>
    <row r="735" customFormat="1" s="82">
      <c r="O735" s="89" t="n"/>
    </row>
    <row r="736" customFormat="1" s="82">
      <c r="O736" s="89" t="n"/>
    </row>
    <row r="737" customFormat="1" s="82">
      <c r="O737" s="89" t="n"/>
    </row>
    <row r="738" customFormat="1" s="82">
      <c r="O738" s="89" t="n"/>
    </row>
    <row r="739" customFormat="1" s="82">
      <c r="O739" s="89" t="n"/>
    </row>
    <row r="740" customFormat="1" s="82">
      <c r="O740" s="89" t="n"/>
    </row>
    <row r="741" customFormat="1" s="82">
      <c r="O741" s="89" t="n"/>
    </row>
    <row r="742" customFormat="1" s="82">
      <c r="O742" s="89" t="n"/>
    </row>
    <row r="743" customFormat="1" s="82">
      <c r="O743" s="89" t="n"/>
    </row>
    <row r="744" customFormat="1" s="82">
      <c r="O744" s="89" t="n"/>
    </row>
    <row r="745" customFormat="1" s="82">
      <c r="O745" s="89" t="n"/>
    </row>
    <row r="746" customFormat="1" s="82">
      <c r="O746" s="89" t="n"/>
    </row>
    <row r="747" customFormat="1" s="82">
      <c r="O747" s="89" t="n"/>
    </row>
    <row r="748" customFormat="1" s="82">
      <c r="O748" s="89" t="n"/>
    </row>
    <row r="749" customFormat="1" s="82">
      <c r="O749" s="89" t="n"/>
    </row>
    <row r="750" customFormat="1" s="82">
      <c r="O750" s="89" t="n"/>
    </row>
    <row r="751" customFormat="1" s="82">
      <c r="O751" s="89" t="n"/>
    </row>
    <row r="752" customFormat="1" s="82">
      <c r="O752" s="89" t="n"/>
    </row>
    <row r="753" customFormat="1" s="82">
      <c r="O753" s="89" t="n"/>
    </row>
    <row r="754" customFormat="1" s="82">
      <c r="O754" s="89" t="n"/>
    </row>
    <row r="755" customFormat="1" s="82">
      <c r="O755" s="89" t="n"/>
    </row>
    <row r="756" customFormat="1" s="82">
      <c r="O756" s="89" t="n"/>
    </row>
    <row r="757" customFormat="1" s="82">
      <c r="O757" s="89" t="n"/>
    </row>
    <row r="758" customFormat="1" s="82">
      <c r="O758" s="89" t="n"/>
    </row>
    <row r="759" customFormat="1" s="82">
      <c r="O759" s="89" t="n"/>
    </row>
    <row r="760" customFormat="1" s="82">
      <c r="O760" s="89" t="n"/>
    </row>
    <row r="761" customFormat="1" s="82">
      <c r="O761" s="89" t="n"/>
    </row>
    <row r="762" customFormat="1" s="82">
      <c r="O762" s="89" t="n"/>
    </row>
    <row r="763" customFormat="1" s="82">
      <c r="O763" s="89" t="n"/>
    </row>
    <row r="764" customFormat="1" s="82">
      <c r="O764" s="89" t="n"/>
    </row>
    <row r="765" customFormat="1" s="82">
      <c r="O765" s="89" t="n"/>
    </row>
    <row r="766" customFormat="1" s="82">
      <c r="O766" s="89" t="n"/>
    </row>
    <row r="767" customFormat="1" s="82">
      <c r="O767" s="89" t="n"/>
    </row>
    <row r="768" customFormat="1" s="82">
      <c r="O768" s="89" t="n"/>
    </row>
    <row r="769" customFormat="1" s="82">
      <c r="O769" s="89" t="n"/>
    </row>
    <row r="770" customFormat="1" s="82">
      <c r="O770" s="89" t="n"/>
    </row>
    <row r="771" customFormat="1" s="82">
      <c r="O771" s="89" t="n"/>
    </row>
    <row r="772" customFormat="1" s="82">
      <c r="O772" s="89" t="n"/>
    </row>
    <row r="773" customFormat="1" s="82">
      <c r="O773" s="89" t="n"/>
    </row>
    <row r="774" customFormat="1" s="82">
      <c r="O774" s="89" t="n"/>
    </row>
    <row r="775" customFormat="1" s="82">
      <c r="O775" s="89" t="n"/>
    </row>
    <row r="776" customFormat="1" s="82">
      <c r="O776" s="89" t="n"/>
    </row>
    <row r="777" customFormat="1" s="82">
      <c r="O777" s="89" t="n"/>
    </row>
    <row r="778" customFormat="1" s="82">
      <c r="O778" s="89" t="n"/>
    </row>
    <row r="779" customFormat="1" s="82">
      <c r="O779" s="89" t="n"/>
    </row>
    <row r="780" customFormat="1" s="82">
      <c r="O780" s="89" t="n"/>
    </row>
    <row r="781" customFormat="1" s="82">
      <c r="O781" s="89" t="n"/>
    </row>
    <row r="782" customFormat="1" s="82">
      <c r="O782" s="89" t="n"/>
    </row>
    <row r="783" customFormat="1" s="82">
      <c r="O783" s="89" t="n"/>
    </row>
    <row r="784" customFormat="1" s="82">
      <c r="O784" s="89" t="n"/>
    </row>
    <row r="785" customFormat="1" s="82">
      <c r="O785" s="89" t="n"/>
    </row>
    <row r="786" customFormat="1" s="82">
      <c r="O786" s="89" t="n"/>
    </row>
    <row r="787" customFormat="1" s="82">
      <c r="O787" s="89" t="n"/>
    </row>
    <row r="788" customFormat="1" s="82">
      <c r="O788" s="89" t="n"/>
    </row>
    <row r="789" customFormat="1" s="82">
      <c r="O789" s="89" t="n"/>
    </row>
    <row r="790" customFormat="1" s="82">
      <c r="O790" s="89" t="n"/>
    </row>
    <row r="791" customFormat="1" s="82">
      <c r="O791" s="89" t="n"/>
    </row>
    <row r="792" customFormat="1" s="82">
      <c r="O792" s="89" t="n"/>
    </row>
    <row r="793" customFormat="1" s="82">
      <c r="O793" s="89" t="n"/>
    </row>
    <row r="794" customFormat="1" s="82">
      <c r="O794" s="89" t="n"/>
    </row>
    <row r="795" customFormat="1" s="82">
      <c r="O795" s="89" t="n"/>
    </row>
    <row r="796" customFormat="1" s="82">
      <c r="O796" s="89" t="n"/>
    </row>
    <row r="797" customFormat="1" s="82">
      <c r="O797" s="89" t="n"/>
    </row>
    <row r="798" customFormat="1" s="82">
      <c r="O798" s="89" t="n"/>
    </row>
    <row r="799" customFormat="1" s="82">
      <c r="O799" s="89" t="n"/>
    </row>
    <row r="800" customFormat="1" s="82">
      <c r="O800" s="89" t="n"/>
    </row>
    <row r="801" customFormat="1" s="82">
      <c r="O801" s="89" t="n"/>
    </row>
    <row r="802" customFormat="1" s="82">
      <c r="O802" s="89" t="n"/>
    </row>
    <row r="803" customFormat="1" s="82">
      <c r="O803" s="89" t="n"/>
    </row>
    <row r="804" customFormat="1" s="82">
      <c r="O804" s="89" t="n"/>
    </row>
    <row r="805" customFormat="1" s="82">
      <c r="O805" s="89" t="n"/>
    </row>
    <row r="806" customFormat="1" s="82">
      <c r="O806" s="89" t="n"/>
    </row>
    <row r="807" customFormat="1" s="82">
      <c r="O807" s="89" t="n"/>
    </row>
    <row r="808" customFormat="1" s="82">
      <c r="O808" s="89" t="n"/>
    </row>
    <row r="809" customFormat="1" s="82">
      <c r="O809" s="89" t="n"/>
    </row>
    <row r="810" customFormat="1" s="82">
      <c r="O810" s="89" t="n"/>
    </row>
    <row r="811" customFormat="1" s="82">
      <c r="O811" s="89" t="n"/>
    </row>
    <row r="812" customFormat="1" s="82">
      <c r="O812" s="89" t="n"/>
    </row>
    <row r="813" customFormat="1" s="82">
      <c r="O813" s="89" t="n"/>
    </row>
    <row r="814" customFormat="1" s="82">
      <c r="O814" s="89" t="n"/>
    </row>
    <row r="815" customFormat="1" s="82">
      <c r="O815" s="89" t="n"/>
    </row>
    <row r="816" customFormat="1" s="82">
      <c r="O816" s="89" t="n"/>
    </row>
    <row r="817" customFormat="1" s="82">
      <c r="O817" s="89" t="n"/>
    </row>
    <row r="818" customFormat="1" s="82">
      <c r="O818" s="89" t="n"/>
    </row>
    <row r="819" customFormat="1" s="82">
      <c r="O819" s="89" t="n"/>
    </row>
    <row r="820" customFormat="1" s="82">
      <c r="O820" s="89" t="n"/>
    </row>
    <row r="821" customFormat="1" s="82">
      <c r="O821" s="89" t="n"/>
    </row>
    <row r="822" customFormat="1" s="82">
      <c r="O822" s="89" t="n"/>
    </row>
    <row r="823" customFormat="1" s="82">
      <c r="O823" s="89" t="n"/>
    </row>
    <row r="824" customFormat="1" s="82">
      <c r="O824" s="89" t="n"/>
    </row>
    <row r="825" customFormat="1" s="82">
      <c r="O825" s="89" t="n"/>
    </row>
    <row r="826" customFormat="1" s="82">
      <c r="O826" s="89" t="n"/>
    </row>
    <row r="827" customFormat="1" s="82">
      <c r="O827" s="89" t="n"/>
    </row>
    <row r="828" customFormat="1" s="82">
      <c r="O828" s="89" t="n"/>
    </row>
    <row r="829" customFormat="1" s="82">
      <c r="O829" s="89" t="n"/>
    </row>
    <row r="830" customFormat="1" s="82">
      <c r="O830" s="89" t="n"/>
    </row>
    <row r="831" customFormat="1" s="82">
      <c r="O831" s="89" t="n"/>
    </row>
    <row r="832" customFormat="1" s="82">
      <c r="O832" s="89" t="n"/>
    </row>
    <row r="833" customFormat="1" s="82">
      <c r="O833" s="89" t="n"/>
    </row>
    <row r="834" customFormat="1" s="82">
      <c r="O834" s="89" t="n"/>
    </row>
    <row r="835" customFormat="1" s="82">
      <c r="O835" s="89" t="n"/>
    </row>
    <row r="836" customFormat="1" s="82">
      <c r="O836" s="89" t="n"/>
    </row>
    <row r="837" customFormat="1" s="82">
      <c r="O837" s="89" t="n"/>
    </row>
    <row r="838" customFormat="1" s="82">
      <c r="O838" s="89" t="n"/>
    </row>
    <row r="839" customFormat="1" s="82">
      <c r="O839" s="89" t="n"/>
    </row>
    <row r="840" customFormat="1" s="82">
      <c r="O840" s="89" t="n"/>
    </row>
    <row r="841" customFormat="1" s="82">
      <c r="O841" s="89" t="n"/>
    </row>
    <row r="842" customFormat="1" s="82">
      <c r="O842" s="89" t="n"/>
    </row>
    <row r="843" customFormat="1" s="82">
      <c r="O843" s="89" t="n"/>
    </row>
    <row r="844" customFormat="1" s="82">
      <c r="O844" s="89" t="n"/>
    </row>
    <row r="845" customFormat="1" s="82">
      <c r="O845" s="89" t="n"/>
    </row>
    <row r="846" customFormat="1" s="82">
      <c r="O846" s="89" t="n"/>
    </row>
    <row r="847" customFormat="1" s="82">
      <c r="O847" s="89" t="n"/>
    </row>
    <row r="848" customFormat="1" s="82">
      <c r="O848" s="89" t="n"/>
    </row>
    <row r="849" customFormat="1" s="82">
      <c r="O849" s="89" t="n"/>
    </row>
    <row r="850" customFormat="1" s="82">
      <c r="O850" s="89" t="n"/>
    </row>
    <row r="851" customFormat="1" s="82">
      <c r="O851" s="89" t="n"/>
    </row>
    <row r="852" customFormat="1" s="82">
      <c r="O852" s="89" t="n"/>
    </row>
    <row r="853" customFormat="1" s="82">
      <c r="O853" s="89" t="n"/>
    </row>
    <row r="854" customFormat="1" s="82">
      <c r="O854" s="89" t="n"/>
    </row>
    <row r="855" customFormat="1" s="82">
      <c r="O855" s="89" t="n"/>
    </row>
    <row r="856" customFormat="1" s="82">
      <c r="O856" s="89" t="n"/>
    </row>
    <row r="857" customFormat="1" s="82">
      <c r="O857" s="89" t="n"/>
    </row>
    <row r="858" customFormat="1" s="82">
      <c r="O858" s="89" t="n"/>
    </row>
    <row r="859" customFormat="1" s="82">
      <c r="O859" s="89" t="n"/>
    </row>
    <row r="860" customFormat="1" s="82">
      <c r="O860" s="89" t="n"/>
    </row>
    <row r="861" customFormat="1" s="82">
      <c r="O861" s="89" t="n"/>
    </row>
    <row r="862" customFormat="1" s="82">
      <c r="O862" s="89" t="n"/>
    </row>
    <row r="863" customFormat="1" s="82">
      <c r="O863" s="89" t="n"/>
    </row>
    <row r="864" customFormat="1" s="82">
      <c r="O864" s="89" t="n"/>
    </row>
    <row r="865" customFormat="1" s="82">
      <c r="O865" s="89" t="n"/>
    </row>
    <row r="866" customFormat="1" s="82">
      <c r="O866" s="89" t="n"/>
    </row>
    <row r="867" customFormat="1" s="82">
      <c r="O867" s="89" t="n"/>
    </row>
    <row r="868" customFormat="1" s="82">
      <c r="O868" s="89" t="n"/>
    </row>
    <row r="869" customFormat="1" s="82">
      <c r="O869" s="89" t="n"/>
    </row>
    <row r="870" customFormat="1" s="82">
      <c r="O870" s="89" t="n"/>
    </row>
    <row r="871" customFormat="1" s="82">
      <c r="O871" s="89" t="n"/>
    </row>
    <row r="872" customFormat="1" s="82">
      <c r="O872" s="89" t="n"/>
    </row>
    <row r="873" customFormat="1" s="82">
      <c r="O873" s="89" t="n"/>
    </row>
    <row r="874" customFormat="1" s="82">
      <c r="O874" s="89" t="n"/>
    </row>
    <row r="875" customFormat="1" s="82">
      <c r="O875" s="89" t="n"/>
    </row>
    <row r="876" customFormat="1" s="82">
      <c r="O876" s="89" t="n"/>
    </row>
    <row r="877" customFormat="1" s="82">
      <c r="O877" s="89" t="n"/>
    </row>
    <row r="878" customFormat="1" s="82">
      <c r="O878" s="89" t="n"/>
    </row>
    <row r="879" customFormat="1" s="82">
      <c r="O879" s="89" t="n"/>
    </row>
    <row r="880" customFormat="1" s="82">
      <c r="O880" s="89" t="n"/>
    </row>
    <row r="881" customFormat="1" s="82">
      <c r="O881" s="89" t="n"/>
    </row>
    <row r="882" customFormat="1" s="82">
      <c r="O882" s="89" t="n"/>
    </row>
    <row r="883" customFormat="1" s="82">
      <c r="O883" s="89" t="n"/>
    </row>
    <row r="884" customFormat="1" s="82">
      <c r="O884" s="89" t="n"/>
    </row>
    <row r="885" customFormat="1" s="82">
      <c r="O885" s="89" t="n"/>
    </row>
    <row r="886" customFormat="1" s="82">
      <c r="O886" s="89" t="n"/>
    </row>
    <row r="887" customFormat="1" s="82">
      <c r="O887" s="89" t="n"/>
    </row>
    <row r="888" customFormat="1" s="82">
      <c r="O888" s="89" t="n"/>
    </row>
    <row r="889" customFormat="1" s="82">
      <c r="O889" s="89" t="n"/>
    </row>
    <row r="890" customFormat="1" s="82">
      <c r="O890" s="89" t="n"/>
    </row>
    <row r="891" customFormat="1" s="82">
      <c r="O891" s="89" t="n"/>
    </row>
    <row r="892" customFormat="1" s="82">
      <c r="O892" s="89" t="n"/>
    </row>
    <row r="893" customFormat="1" s="82">
      <c r="O893" s="89" t="n"/>
    </row>
    <row r="894" customFormat="1" s="82">
      <c r="O894" s="89" t="n"/>
    </row>
    <row r="895" customFormat="1" s="82">
      <c r="O895" s="89" t="n"/>
    </row>
    <row r="896" customFormat="1" s="82">
      <c r="O896" s="89" t="n"/>
    </row>
    <row r="897" customFormat="1" s="82">
      <c r="O897" s="89" t="n"/>
    </row>
    <row r="898" customFormat="1" s="82">
      <c r="O898" s="89" t="n"/>
    </row>
    <row r="899" customFormat="1" s="82">
      <c r="O899" s="89" t="n"/>
    </row>
    <row r="900" customFormat="1" s="82">
      <c r="O900" s="89" t="n"/>
    </row>
    <row r="901" customFormat="1" s="82">
      <c r="O901" s="89" t="n"/>
    </row>
    <row r="902" customFormat="1" s="82">
      <c r="O902" s="89" t="n"/>
    </row>
    <row r="903" customFormat="1" s="82">
      <c r="O903" s="89" t="n"/>
    </row>
    <row r="904" customFormat="1" s="82">
      <c r="O904" s="89" t="n"/>
    </row>
    <row r="905" customFormat="1" s="82">
      <c r="O905" s="89" t="n"/>
    </row>
    <row r="906" customFormat="1" s="82">
      <c r="O906" s="89" t="n"/>
    </row>
    <row r="907" customFormat="1" s="82">
      <c r="O907" s="89" t="n"/>
    </row>
    <row r="908" customFormat="1" s="82">
      <c r="O908" s="89" t="n"/>
    </row>
    <row r="909" customFormat="1" s="82">
      <c r="O909" s="89" t="n"/>
    </row>
    <row r="910" customFormat="1" s="82">
      <c r="O910" s="89" t="n"/>
    </row>
    <row r="911" customFormat="1" s="82">
      <c r="O911" s="89" t="n"/>
    </row>
    <row r="912" customFormat="1" s="82">
      <c r="O912" s="89" t="n"/>
    </row>
    <row r="913" customFormat="1" s="82">
      <c r="O913" s="89" t="n"/>
    </row>
    <row r="914" customFormat="1" s="82">
      <c r="O914" s="89" t="n"/>
    </row>
    <row r="915" customFormat="1" s="82">
      <c r="O915" s="89" t="n"/>
    </row>
    <row r="916" customFormat="1" s="82">
      <c r="O916" s="89" t="n"/>
    </row>
    <row r="917" customFormat="1" s="82">
      <c r="O917" s="89" t="n"/>
    </row>
    <row r="918" customFormat="1" s="82">
      <c r="O918" s="89" t="n"/>
    </row>
    <row r="919" customFormat="1" s="82">
      <c r="O919" s="89" t="n"/>
    </row>
    <row r="920" customFormat="1" s="82">
      <c r="O920" s="89" t="n"/>
    </row>
    <row r="921" customFormat="1" s="82">
      <c r="O921" s="89" t="n"/>
    </row>
    <row r="922" customFormat="1" s="82">
      <c r="O922" s="89" t="n"/>
    </row>
    <row r="923" customFormat="1" s="82">
      <c r="O923" s="89" t="n"/>
    </row>
    <row r="924" customFormat="1" s="82">
      <c r="O924" s="89" t="n"/>
    </row>
    <row r="925" customFormat="1" s="82">
      <c r="O925" s="89" t="n"/>
    </row>
    <row r="926" customFormat="1" s="82">
      <c r="O926" s="89" t="n"/>
    </row>
    <row r="927" customFormat="1" s="82">
      <c r="O927" s="89" t="n"/>
    </row>
    <row r="928" customFormat="1" s="82">
      <c r="O928" s="89" t="n"/>
    </row>
    <row r="929" customFormat="1" s="82">
      <c r="O929" s="89" t="n"/>
    </row>
    <row r="930" customFormat="1" s="82">
      <c r="O930" s="89" t="n"/>
    </row>
    <row r="931" customFormat="1" s="82">
      <c r="O931" s="89" t="n"/>
    </row>
    <row r="932" customFormat="1" s="82">
      <c r="O932" s="89" t="n"/>
    </row>
    <row r="933" customFormat="1" s="82">
      <c r="O933" s="89" t="n"/>
    </row>
    <row r="934" customFormat="1" s="82">
      <c r="O934" s="89" t="n"/>
    </row>
    <row r="935" customFormat="1" s="82">
      <c r="O935" s="89" t="n"/>
    </row>
    <row r="936" customFormat="1" s="82">
      <c r="O936" s="89" t="n"/>
    </row>
    <row r="937" customFormat="1" s="82">
      <c r="O937" s="89" t="n"/>
    </row>
    <row r="938" customFormat="1" s="82">
      <c r="O938" s="89" t="n"/>
    </row>
    <row r="939" customFormat="1" s="82">
      <c r="O939" s="89" t="n"/>
    </row>
    <row r="940" customFormat="1" s="82">
      <c r="O940" s="89" t="n"/>
    </row>
    <row r="941" customFormat="1" s="82">
      <c r="O941" s="89" t="n"/>
    </row>
    <row r="942" customFormat="1" s="82">
      <c r="O942" s="89" t="n"/>
    </row>
    <row r="943" customFormat="1" s="82">
      <c r="O943" s="89" t="n"/>
    </row>
    <row r="944" customFormat="1" s="82">
      <c r="O944" s="89" t="n"/>
    </row>
    <row r="945" customFormat="1" s="82">
      <c r="O945" s="89" t="n"/>
    </row>
    <row r="946" customFormat="1" s="82">
      <c r="O946" s="89" t="n"/>
    </row>
    <row r="947" customFormat="1" s="82">
      <c r="O947" s="89" t="n"/>
    </row>
    <row r="948" customFormat="1" s="82">
      <c r="O948" s="89" t="n"/>
    </row>
    <row r="949" customFormat="1" s="82">
      <c r="O949" s="89" t="n"/>
    </row>
    <row r="950" customFormat="1" s="82">
      <c r="O950" s="89" t="n"/>
    </row>
    <row r="951" customFormat="1" s="82">
      <c r="O951" s="89" t="n"/>
    </row>
    <row r="952" customFormat="1" s="82">
      <c r="O952" s="89" t="n"/>
    </row>
    <row r="953" customFormat="1" s="82">
      <c r="O953" s="89" t="n"/>
    </row>
    <row r="954" customFormat="1" s="82">
      <c r="O954" s="89" t="n"/>
    </row>
    <row r="955" customFormat="1" s="82">
      <c r="O955" s="89" t="n"/>
    </row>
    <row r="956" customFormat="1" s="82">
      <c r="O956" s="89" t="n"/>
    </row>
    <row r="957" customFormat="1" s="82">
      <c r="O957" s="89" t="n"/>
    </row>
    <row r="958" customFormat="1" s="82">
      <c r="O958" s="89" t="n"/>
    </row>
    <row r="959" customFormat="1" s="82">
      <c r="O959" s="89" t="n"/>
    </row>
    <row r="960" customFormat="1" s="82">
      <c r="O960" s="89" t="n"/>
    </row>
    <row r="961" customFormat="1" s="82">
      <c r="O961" s="89" t="n"/>
    </row>
    <row r="962" customFormat="1" s="82">
      <c r="O962" s="89" t="n"/>
    </row>
    <row r="963" customFormat="1" s="82">
      <c r="O963" s="89" t="n"/>
    </row>
    <row r="964" customFormat="1" s="82">
      <c r="O964" s="89" t="n"/>
    </row>
    <row r="965" customFormat="1" s="82">
      <c r="O965" s="89" t="n"/>
    </row>
    <row r="966" customFormat="1" s="82">
      <c r="O966" s="89" t="n"/>
    </row>
    <row r="967" customFormat="1" s="82">
      <c r="O967" s="89" t="n"/>
    </row>
    <row r="968" customFormat="1" s="82">
      <c r="O968" s="89" t="n"/>
    </row>
    <row r="969" customFormat="1" s="82">
      <c r="O969" s="89" t="n"/>
    </row>
    <row r="970" customFormat="1" s="82">
      <c r="O970" s="89" t="n"/>
    </row>
    <row r="971" customFormat="1" s="82">
      <c r="O971" s="89" t="n"/>
    </row>
    <row r="972" customFormat="1" s="82">
      <c r="O972" s="89" t="n"/>
    </row>
    <row r="973" customFormat="1" s="82">
      <c r="O973" s="89" t="n"/>
    </row>
    <row r="974" customFormat="1" s="82">
      <c r="O974" s="89" t="n"/>
    </row>
    <row r="975" customFormat="1" s="82">
      <c r="O975" s="89" t="n"/>
    </row>
    <row r="976" customFormat="1" s="82">
      <c r="O976" s="89" t="n"/>
    </row>
    <row r="977" customFormat="1" s="82">
      <c r="O977" s="89" t="n"/>
    </row>
    <row r="978" customFormat="1" s="82">
      <c r="O978" s="89" t="n"/>
    </row>
    <row r="979" customFormat="1" s="82">
      <c r="O979" s="89" t="n"/>
    </row>
    <row r="980" customFormat="1" s="82">
      <c r="O980" s="89" t="n"/>
    </row>
    <row r="981" customFormat="1" s="82">
      <c r="O981" s="89" t="n"/>
    </row>
    <row r="982" customFormat="1" s="82">
      <c r="O982" s="89" t="n"/>
    </row>
    <row r="983" customFormat="1" s="82">
      <c r="O983" s="89" t="n"/>
    </row>
    <row r="984" customFormat="1" s="82">
      <c r="O984" s="89" t="n"/>
    </row>
    <row r="985" customFormat="1" s="82">
      <c r="O985" s="89" t="n"/>
    </row>
    <row r="986" customFormat="1" s="82">
      <c r="O986" s="89" t="n"/>
    </row>
    <row r="987" customFormat="1" s="82">
      <c r="O987" s="89" t="n"/>
    </row>
    <row r="988" customFormat="1" s="82">
      <c r="O988" s="89" t="n"/>
    </row>
    <row r="989" customFormat="1" s="82">
      <c r="O989" s="89" t="n"/>
    </row>
    <row r="990" customFormat="1" s="82">
      <c r="O990" s="89" t="n"/>
    </row>
    <row r="991" customFormat="1" s="82">
      <c r="O991" s="89" t="n"/>
    </row>
    <row r="992" customFormat="1" s="82">
      <c r="O992" s="89" t="n"/>
    </row>
    <row r="993" customFormat="1" s="82">
      <c r="O993" s="89" t="n"/>
    </row>
    <row r="994" customFormat="1" s="82">
      <c r="O994" s="89" t="n"/>
    </row>
    <row r="995" customFormat="1" s="82">
      <c r="O995" s="89" t="n"/>
    </row>
    <row r="996" customFormat="1" s="82">
      <c r="O996" s="89" t="n"/>
    </row>
    <row r="997" customFormat="1" s="82">
      <c r="O997" s="89" t="n"/>
    </row>
    <row r="998" customFormat="1" s="82">
      <c r="O998" s="89" t="n"/>
    </row>
    <row r="999" customFormat="1" s="82">
      <c r="O999" s="89" t="n"/>
    </row>
    <row r="1000" customFormat="1" s="82">
      <c r="O1000" s="89" t="n"/>
    </row>
    <row r="1001" customFormat="1" s="82">
      <c r="O1001" s="89" t="n"/>
    </row>
    <row r="1002" customFormat="1" s="82">
      <c r="O1002" s="89" t="n"/>
    </row>
    <row r="1003" customFormat="1" s="82">
      <c r="O1003" s="89" t="n"/>
    </row>
    <row r="1004" customFormat="1" s="82">
      <c r="O1004" s="89" t="n"/>
    </row>
    <row r="1005" customFormat="1" s="82">
      <c r="O1005" s="89" t="n"/>
    </row>
    <row r="1006" customFormat="1" s="82">
      <c r="O1006" s="89" t="n"/>
    </row>
    <row r="1007" customFormat="1" s="82">
      <c r="O1007" s="89" t="n"/>
    </row>
    <row r="1008" customFormat="1" s="82">
      <c r="O1008" s="89" t="n"/>
    </row>
    <row r="1009" customFormat="1" s="82">
      <c r="O1009" s="89" t="n"/>
    </row>
    <row r="1010" customFormat="1" s="82">
      <c r="O1010" s="89" t="n"/>
    </row>
    <row r="1011" customFormat="1" s="82">
      <c r="O1011" s="89" t="n"/>
    </row>
    <row r="1012" customFormat="1" s="82">
      <c r="O1012" s="89" t="n"/>
    </row>
    <row r="1013" customFormat="1" s="82">
      <c r="O1013" s="89" t="n"/>
    </row>
    <row r="1014" customFormat="1" s="82">
      <c r="O1014" s="89" t="n"/>
    </row>
    <row r="1015" customFormat="1" s="82">
      <c r="O1015" s="89" t="n"/>
    </row>
    <row r="1016" customFormat="1" s="82">
      <c r="O1016" s="89" t="n"/>
    </row>
    <row r="1017" customFormat="1" s="82">
      <c r="O1017" s="89" t="n"/>
    </row>
    <row r="1018" customFormat="1" s="82">
      <c r="O1018" s="89" t="n"/>
    </row>
    <row r="1019" customFormat="1" s="82">
      <c r="O1019" s="89" t="n"/>
    </row>
    <row r="1020" customFormat="1" s="82">
      <c r="O1020" s="89" t="n"/>
    </row>
    <row r="1021" customFormat="1" s="82">
      <c r="O1021" s="89" t="n"/>
    </row>
    <row r="1022" customFormat="1" s="82">
      <c r="O1022" s="89" t="n"/>
    </row>
    <row r="1023" customFormat="1" s="82">
      <c r="O1023" s="89" t="n"/>
    </row>
    <row r="1024" customFormat="1" s="82">
      <c r="O1024" s="89" t="n"/>
    </row>
    <row r="1025" customFormat="1" s="82">
      <c r="O1025" s="89" t="n"/>
    </row>
    <row r="1026" customFormat="1" s="82">
      <c r="O1026" s="89" t="n"/>
    </row>
    <row r="1027" customFormat="1" s="82">
      <c r="O1027" s="89" t="n"/>
    </row>
    <row r="1028" customFormat="1" s="82">
      <c r="O1028" s="89" t="n"/>
    </row>
    <row r="1029" customFormat="1" s="82">
      <c r="O1029" s="89" t="n"/>
    </row>
    <row r="1030" customFormat="1" s="82">
      <c r="O1030" s="89" t="n"/>
    </row>
    <row r="1031" customFormat="1" s="82">
      <c r="O1031" s="89" t="n"/>
    </row>
    <row r="1032" customFormat="1" s="82">
      <c r="O1032" s="89" t="n"/>
    </row>
    <row r="1033" customFormat="1" s="82">
      <c r="O1033" s="89" t="n"/>
    </row>
    <row r="1034" customFormat="1" s="82">
      <c r="O1034" s="89" t="n"/>
    </row>
    <row r="1035" customFormat="1" s="82">
      <c r="O1035" s="89" t="n"/>
    </row>
    <row r="1036" customFormat="1" s="82">
      <c r="O1036" s="89" t="n"/>
    </row>
    <row r="1037" customFormat="1" s="82">
      <c r="O1037" s="89" t="n"/>
    </row>
    <row r="1038" customFormat="1" s="82">
      <c r="O1038" s="89" t="n"/>
    </row>
    <row r="1039" customFormat="1" s="82">
      <c r="O1039" s="89" t="n"/>
    </row>
    <row r="1040" customFormat="1" s="82">
      <c r="O1040" s="89" t="n"/>
    </row>
    <row r="1041" customFormat="1" s="82">
      <c r="O1041" s="89" t="n"/>
    </row>
    <row r="1042" customFormat="1" s="82">
      <c r="O1042" s="89" t="n"/>
    </row>
    <row r="1043" customFormat="1" s="82">
      <c r="O1043" s="89" t="n"/>
    </row>
    <row r="1044" customFormat="1" s="82">
      <c r="O1044" s="89" t="n"/>
    </row>
    <row r="1045" customFormat="1" s="82">
      <c r="O1045" s="89" t="n"/>
    </row>
    <row r="1046" customFormat="1" s="82">
      <c r="O1046" s="89" t="n"/>
    </row>
    <row r="1047" customFormat="1" s="82">
      <c r="O1047" s="89" t="n"/>
    </row>
    <row r="1048" customFormat="1" s="82">
      <c r="O1048" s="89" t="n"/>
    </row>
    <row r="1049" customFormat="1" s="82">
      <c r="O1049" s="89" t="n"/>
    </row>
    <row r="1050" customFormat="1" s="82">
      <c r="O1050" s="89" t="n"/>
    </row>
    <row r="1051" customFormat="1" s="82">
      <c r="O1051" s="89" t="n"/>
    </row>
    <row r="1052" customFormat="1" s="82">
      <c r="O1052" s="89" t="n"/>
    </row>
    <row r="1053" customFormat="1" s="82">
      <c r="O1053" s="89" t="n"/>
    </row>
    <row r="1054" customFormat="1" s="82">
      <c r="O1054" s="89" t="n"/>
    </row>
    <row r="1055" customFormat="1" s="82">
      <c r="O1055" s="89" t="n"/>
    </row>
    <row r="1056" customFormat="1" s="82">
      <c r="O1056" s="89" t="n"/>
    </row>
    <row r="1057" customFormat="1" s="82">
      <c r="O1057" s="89" t="n"/>
    </row>
    <row r="1058" customFormat="1" s="82">
      <c r="O1058" s="89" t="n"/>
    </row>
    <row r="1059" customFormat="1" s="82">
      <c r="O1059" s="89" t="n"/>
    </row>
    <row r="1060" customFormat="1" s="82">
      <c r="O1060" s="89" t="n"/>
    </row>
    <row r="1061" customFormat="1" s="82">
      <c r="O1061" s="89" t="n"/>
    </row>
    <row r="1062" customFormat="1" s="82">
      <c r="O1062" s="89" t="n"/>
    </row>
    <row r="1063" customFormat="1" s="82">
      <c r="O1063" s="89" t="n"/>
    </row>
    <row r="1064" customFormat="1" s="82">
      <c r="O1064" s="89" t="n"/>
    </row>
    <row r="1065" customFormat="1" s="82">
      <c r="O1065" s="89" t="n"/>
    </row>
    <row r="1066" customFormat="1" s="82">
      <c r="O1066" s="89" t="n"/>
    </row>
    <row r="1067" customFormat="1" s="82">
      <c r="O1067" s="89" t="n"/>
    </row>
    <row r="1068" customFormat="1" s="82">
      <c r="O1068" s="89" t="n"/>
    </row>
    <row r="1069" customFormat="1" s="82">
      <c r="O1069" s="89" t="n"/>
    </row>
    <row r="1070" customFormat="1" s="82">
      <c r="O1070" s="89" t="n"/>
    </row>
    <row r="1071" customFormat="1" s="82">
      <c r="O1071" s="89" t="n"/>
    </row>
    <row r="1072" customFormat="1" s="82">
      <c r="O1072" s="89" t="n"/>
    </row>
    <row r="1073" customFormat="1" s="82">
      <c r="O1073" s="89" t="n"/>
    </row>
    <row r="1074" customFormat="1" s="82">
      <c r="O1074" s="89" t="n"/>
    </row>
    <row r="1075" customFormat="1" s="82">
      <c r="O1075" s="89" t="n"/>
    </row>
    <row r="1076" customFormat="1" s="82">
      <c r="O1076" s="89" t="n"/>
    </row>
    <row r="1077" customFormat="1" s="82">
      <c r="O1077" s="89" t="n"/>
    </row>
    <row r="1078" customFormat="1" s="82">
      <c r="O1078" s="89" t="n"/>
    </row>
    <row r="1079" customFormat="1" s="82">
      <c r="O1079" s="89" t="n"/>
    </row>
    <row r="1080" customFormat="1" s="82">
      <c r="O1080" s="89" t="n"/>
    </row>
    <row r="1081" customFormat="1" s="82">
      <c r="O1081" s="89" t="n"/>
    </row>
    <row r="1082" customFormat="1" s="82">
      <c r="O1082" s="89" t="n"/>
    </row>
    <row r="1083" customFormat="1" s="82">
      <c r="O1083" s="89" t="n"/>
    </row>
    <row r="1084" customFormat="1" s="82">
      <c r="O1084" s="89" t="n"/>
    </row>
    <row r="1085" customFormat="1" s="82">
      <c r="O1085" s="89" t="n"/>
    </row>
    <row r="1086" customFormat="1" s="82">
      <c r="O1086" s="89" t="n"/>
    </row>
    <row r="1087" customFormat="1" s="82">
      <c r="O1087" s="89" t="n"/>
    </row>
    <row r="1088" customFormat="1" s="82">
      <c r="O1088" s="89" t="n"/>
    </row>
    <row r="1089" customFormat="1" s="82">
      <c r="O1089" s="89" t="n"/>
    </row>
    <row r="1090" customFormat="1" s="82">
      <c r="O1090" s="89" t="n"/>
    </row>
    <row r="1091" customFormat="1" s="82">
      <c r="O1091" s="89" t="n"/>
    </row>
    <row r="1092" customFormat="1" s="82">
      <c r="O1092" s="89" t="n"/>
    </row>
    <row r="1093" customFormat="1" s="82">
      <c r="O1093" s="89" t="n"/>
    </row>
    <row r="1094" customFormat="1" s="82">
      <c r="O1094" s="89" t="n"/>
    </row>
    <row r="1095" customFormat="1" s="82">
      <c r="O1095" s="89" t="n"/>
    </row>
    <row r="1096" customFormat="1" s="82">
      <c r="O1096" s="89" t="n"/>
    </row>
    <row r="1097" customFormat="1" s="82">
      <c r="O1097" s="89" t="n"/>
    </row>
    <row r="1098" customFormat="1" s="82">
      <c r="O1098" s="89" t="n"/>
    </row>
    <row r="1099" customFormat="1" s="82">
      <c r="O1099" s="89" t="n"/>
    </row>
    <row r="1100" customFormat="1" s="82">
      <c r="O1100" s="89" t="n"/>
    </row>
    <row r="1101" customFormat="1" s="82">
      <c r="O1101" s="89" t="n"/>
    </row>
    <row r="1102" customFormat="1" s="82">
      <c r="O1102" s="89" t="n"/>
    </row>
    <row r="1103" customFormat="1" s="82">
      <c r="O1103" s="89" t="n"/>
    </row>
    <row r="1104" customFormat="1" s="82">
      <c r="O1104" s="89" t="n"/>
    </row>
    <row r="1105" customFormat="1" s="82">
      <c r="O1105" s="89" t="n"/>
    </row>
    <row r="1106" customFormat="1" s="82">
      <c r="O1106" s="89" t="n"/>
    </row>
    <row r="1107" customFormat="1" s="82">
      <c r="O1107" s="89" t="n"/>
    </row>
    <row r="1108" customFormat="1" s="82">
      <c r="O1108" s="89" t="n"/>
    </row>
    <row r="1109" customFormat="1" s="82">
      <c r="O1109" s="89" t="n"/>
    </row>
    <row r="1110" customFormat="1" s="82">
      <c r="O1110" s="89" t="n"/>
    </row>
    <row r="1111" customFormat="1" s="82">
      <c r="O1111" s="89" t="n"/>
    </row>
    <row r="1112" customFormat="1" s="82">
      <c r="O1112" s="89" t="n"/>
    </row>
    <row r="1113" customFormat="1" s="82">
      <c r="O1113" s="89" t="n"/>
    </row>
    <row r="1114" customFormat="1" s="82">
      <c r="O1114" s="89" t="n"/>
    </row>
    <row r="1115" customFormat="1" s="82">
      <c r="O1115" s="89" t="n"/>
    </row>
    <row r="1116" customFormat="1" s="82">
      <c r="O1116" s="89" t="n"/>
    </row>
    <row r="1117" customFormat="1" s="82">
      <c r="O1117" s="89" t="n"/>
    </row>
    <row r="1118" customFormat="1" s="82">
      <c r="O1118" s="89" t="n"/>
    </row>
    <row r="1119" customFormat="1" s="82">
      <c r="O1119" s="89" t="n"/>
    </row>
    <row r="1120" customFormat="1" s="82">
      <c r="O1120" s="89" t="n"/>
    </row>
    <row r="1121" customFormat="1" s="82">
      <c r="O1121" s="89" t="n"/>
    </row>
    <row r="1122" customFormat="1" s="82">
      <c r="O1122" s="89" t="n"/>
    </row>
    <row r="1123" customFormat="1" s="82">
      <c r="O1123" s="89" t="n"/>
    </row>
    <row r="1124" customFormat="1" s="82">
      <c r="O1124" s="89" t="n"/>
    </row>
    <row r="1125" customFormat="1" s="82">
      <c r="O1125" s="89" t="n"/>
    </row>
    <row r="1126" customFormat="1" s="82">
      <c r="O1126" s="89" t="n"/>
    </row>
    <row r="1127" customFormat="1" s="82">
      <c r="O1127" s="89" t="n"/>
    </row>
    <row r="1128" customFormat="1" s="82">
      <c r="O1128" s="89" t="n"/>
    </row>
    <row r="1129" customFormat="1" s="82">
      <c r="O1129" s="89" t="n"/>
    </row>
    <row r="1130" customFormat="1" s="82">
      <c r="O1130" s="89" t="n"/>
    </row>
    <row r="1131" customFormat="1" s="82">
      <c r="O1131" s="89" t="n"/>
    </row>
    <row r="1132" customFormat="1" s="82">
      <c r="O1132" s="89" t="n"/>
    </row>
    <row r="1133" customFormat="1" s="82">
      <c r="O1133" s="89" t="n"/>
    </row>
    <row r="1134" customFormat="1" s="82">
      <c r="O1134" s="89" t="n"/>
    </row>
    <row r="1135" customFormat="1" s="82">
      <c r="O1135" s="89" t="n"/>
    </row>
    <row r="1136" customFormat="1" s="82">
      <c r="O1136" s="89" t="n"/>
    </row>
    <row r="1137" customFormat="1" s="82">
      <c r="O1137" s="89" t="n"/>
    </row>
    <row r="1138" customFormat="1" s="82">
      <c r="O1138" s="89" t="n"/>
    </row>
    <row r="1139" customFormat="1" s="82">
      <c r="O1139" s="89" t="n"/>
    </row>
    <row r="1140" customFormat="1" s="82">
      <c r="O1140" s="89" t="n"/>
    </row>
    <row r="1141" customFormat="1" s="82">
      <c r="O1141" s="89" t="n"/>
    </row>
    <row r="1142" customFormat="1" s="82">
      <c r="O1142" s="89" t="n"/>
    </row>
    <row r="1143" customFormat="1" s="82">
      <c r="O1143" s="89" t="n"/>
    </row>
    <row r="1144" customFormat="1" s="82">
      <c r="O1144" s="89" t="n"/>
    </row>
    <row r="1145" customFormat="1" s="82">
      <c r="O1145" s="89" t="n"/>
    </row>
    <row r="1146" customFormat="1" s="82">
      <c r="O1146" s="89" t="n"/>
    </row>
    <row r="1147" customFormat="1" s="82">
      <c r="O1147" s="89" t="n"/>
    </row>
    <row r="1148" customFormat="1" s="82">
      <c r="O1148" s="89" t="n"/>
    </row>
    <row r="1149" customFormat="1" s="82">
      <c r="O1149" s="89" t="n"/>
    </row>
    <row r="1150" customFormat="1" s="82">
      <c r="O1150" s="89" t="n"/>
    </row>
    <row r="1151" customFormat="1" s="82">
      <c r="O1151" s="89" t="n"/>
    </row>
    <row r="1152" customFormat="1" s="82">
      <c r="O1152" s="89" t="n"/>
    </row>
    <row r="1153" customFormat="1" s="82">
      <c r="O1153" s="89" t="n"/>
    </row>
    <row r="1154" customFormat="1" s="82">
      <c r="O1154" s="89" t="n"/>
    </row>
    <row r="1155" customFormat="1" s="82">
      <c r="O1155" s="89" t="n"/>
    </row>
    <row r="1156" customFormat="1" s="82">
      <c r="O1156" s="89" t="n"/>
    </row>
    <row r="1157" customFormat="1" s="82">
      <c r="O1157" s="89" t="n"/>
    </row>
    <row r="1158" customFormat="1" s="82">
      <c r="O1158" s="89" t="n"/>
    </row>
    <row r="1159" customFormat="1" s="82">
      <c r="O1159" s="89" t="n"/>
    </row>
    <row r="1160" customFormat="1" s="82">
      <c r="O1160" s="89" t="n"/>
    </row>
    <row r="1161" customFormat="1" s="82">
      <c r="O1161" s="89" t="n"/>
    </row>
    <row r="1162" customFormat="1" s="82">
      <c r="O1162" s="89" t="n"/>
    </row>
    <row r="1163" customFormat="1" s="82">
      <c r="O1163" s="89" t="n"/>
    </row>
    <row r="1164" customFormat="1" s="82">
      <c r="O1164" s="89" t="n"/>
    </row>
    <row r="1165" customFormat="1" s="82">
      <c r="O1165" s="89" t="n"/>
    </row>
    <row r="1166" customFormat="1" s="82">
      <c r="O1166" s="89" t="n"/>
    </row>
    <row r="1167" customFormat="1" s="82">
      <c r="O1167" s="89" t="n"/>
    </row>
    <row r="1168" customFormat="1" s="82">
      <c r="O1168" s="89" t="n"/>
    </row>
    <row r="1169" customFormat="1" s="82">
      <c r="O1169" s="89" t="n"/>
    </row>
    <row r="1170" customFormat="1" s="82">
      <c r="O1170" s="89" t="n"/>
    </row>
    <row r="1171" customFormat="1" s="82">
      <c r="O1171" s="89" t="n"/>
    </row>
    <row r="1172" customFormat="1" s="82">
      <c r="O1172" s="89" t="n"/>
    </row>
    <row r="1173" customFormat="1" s="82">
      <c r="O1173" s="89" t="n"/>
    </row>
    <row r="1174" customFormat="1" s="82">
      <c r="O1174" s="89" t="n"/>
    </row>
    <row r="1175" customFormat="1" s="82">
      <c r="O1175" s="89" t="n"/>
    </row>
    <row r="1176" customFormat="1" s="82">
      <c r="O1176" s="89" t="n"/>
    </row>
    <row r="1177" customFormat="1" s="82">
      <c r="O1177" s="89" t="n"/>
    </row>
    <row r="1178" customFormat="1" s="82">
      <c r="O1178" s="89" t="n"/>
    </row>
    <row r="1179" customFormat="1" s="82">
      <c r="O1179" s="89" t="n"/>
    </row>
    <row r="1180" customFormat="1" s="82">
      <c r="O1180" s="89" t="n"/>
    </row>
    <row r="1181" customFormat="1" s="82">
      <c r="O1181" s="89" t="n"/>
    </row>
    <row r="1182" customFormat="1" s="82">
      <c r="O1182" s="89" t="n"/>
    </row>
    <row r="1183" customFormat="1" s="82">
      <c r="O1183" s="89" t="n"/>
    </row>
    <row r="1184" customFormat="1" s="82">
      <c r="O1184" s="89" t="n"/>
    </row>
    <row r="1185" customFormat="1" s="82">
      <c r="O1185" s="89" t="n"/>
    </row>
    <row r="1186" customFormat="1" s="82">
      <c r="O1186" s="89" t="n"/>
    </row>
    <row r="1187" customFormat="1" s="82">
      <c r="O1187" s="89" t="n"/>
    </row>
    <row r="1188" customFormat="1" s="82">
      <c r="O1188" s="89" t="n"/>
    </row>
    <row r="1189" customFormat="1" s="82">
      <c r="O1189" s="89" t="n"/>
    </row>
    <row r="1190" customFormat="1" s="82">
      <c r="O1190" s="89" t="n"/>
    </row>
    <row r="1191" customFormat="1" s="82">
      <c r="O1191" s="89" t="n"/>
    </row>
    <row r="1192" customFormat="1" s="82">
      <c r="O1192" s="89" t="n"/>
    </row>
    <row r="1193" customFormat="1" s="82">
      <c r="O1193" s="89" t="n"/>
    </row>
    <row r="1194" customFormat="1" s="82">
      <c r="O1194" s="89" t="n"/>
    </row>
    <row r="1195" customFormat="1" s="82">
      <c r="O1195" s="89" t="n"/>
    </row>
    <row r="1196" customFormat="1" s="82">
      <c r="O1196" s="89" t="n"/>
    </row>
    <row r="1197" customFormat="1" s="82">
      <c r="O1197" s="89" t="n"/>
    </row>
    <row r="1198" customFormat="1" s="82">
      <c r="O1198" s="89" t="n"/>
    </row>
    <row r="1199" customFormat="1" s="82">
      <c r="O1199" s="89" t="n"/>
    </row>
    <row r="1200" customFormat="1" s="82">
      <c r="O1200" s="89" t="n"/>
    </row>
    <row r="1201" customFormat="1" s="82">
      <c r="O1201" s="89" t="n"/>
    </row>
    <row r="1202" customFormat="1" s="82">
      <c r="O1202" s="89" t="n"/>
    </row>
    <row r="1203" customFormat="1" s="82">
      <c r="O1203" s="89" t="n"/>
    </row>
    <row r="1204" customFormat="1" s="82">
      <c r="O1204" s="89" t="n"/>
    </row>
    <row r="1205" customFormat="1" s="82">
      <c r="O1205" s="89" t="n"/>
    </row>
    <row r="1206" customFormat="1" s="82">
      <c r="O1206" s="89" t="n"/>
    </row>
    <row r="1207" customFormat="1" s="82">
      <c r="O1207" s="89" t="n"/>
    </row>
    <row r="1208" customFormat="1" s="82">
      <c r="O1208" s="89" t="n"/>
    </row>
    <row r="1209" customFormat="1" s="82">
      <c r="O1209" s="89" t="n"/>
    </row>
    <row r="1210" customFormat="1" s="82">
      <c r="O1210" s="89" t="n"/>
    </row>
    <row r="1211" customFormat="1" s="82">
      <c r="O1211" s="89" t="n"/>
    </row>
    <row r="1212" customFormat="1" s="82">
      <c r="O1212" s="89" t="n"/>
    </row>
    <row r="1213" customFormat="1" s="82">
      <c r="O1213" s="89" t="n"/>
    </row>
    <row r="1214" customFormat="1" s="82">
      <c r="O1214" s="89" t="n"/>
    </row>
    <row r="1215" customFormat="1" s="82">
      <c r="O1215" s="89" t="n"/>
    </row>
    <row r="1216" customFormat="1" s="82">
      <c r="O1216" s="89" t="n"/>
    </row>
    <row r="1217" customFormat="1" s="82">
      <c r="O1217" s="89" t="n"/>
    </row>
    <row r="1218" customFormat="1" s="82">
      <c r="O1218" s="89" t="n"/>
    </row>
    <row r="1219" customFormat="1" s="82">
      <c r="O1219" s="89" t="n"/>
    </row>
    <row r="1220" customFormat="1" s="82">
      <c r="O1220" s="89" t="n"/>
    </row>
    <row r="1221" customFormat="1" s="82">
      <c r="O1221" s="89" t="n"/>
    </row>
    <row r="1222" customFormat="1" s="82">
      <c r="O1222" s="89" t="n"/>
    </row>
    <row r="1223" customFormat="1" s="82">
      <c r="O1223" s="89" t="n"/>
    </row>
    <row r="1224" customFormat="1" s="82">
      <c r="O1224" s="89" t="n"/>
    </row>
    <row r="1225" customFormat="1" s="82">
      <c r="O1225" s="89" t="n"/>
    </row>
    <row r="1226" customFormat="1" s="82">
      <c r="O1226" s="89" t="n"/>
    </row>
    <row r="1227" customFormat="1" s="82">
      <c r="O1227" s="89" t="n"/>
    </row>
    <row r="1228" customFormat="1" s="82">
      <c r="O1228" s="89" t="n"/>
    </row>
    <row r="1229" customFormat="1" s="82">
      <c r="O1229" s="89" t="n"/>
    </row>
    <row r="1230" customFormat="1" s="82">
      <c r="O1230" s="89" t="n"/>
    </row>
    <row r="1231" customFormat="1" s="82">
      <c r="O1231" s="89" t="n"/>
    </row>
    <row r="1232" customFormat="1" s="82">
      <c r="O1232" s="89" t="n"/>
    </row>
    <row r="1233" customFormat="1" s="82">
      <c r="O1233" s="89" t="n"/>
    </row>
    <row r="1234" customFormat="1" s="82">
      <c r="O1234" s="89" t="n"/>
    </row>
    <row r="1235" customFormat="1" s="82">
      <c r="O1235" s="89" t="n"/>
    </row>
    <row r="1236" customFormat="1" s="82">
      <c r="O1236" s="89" t="n"/>
    </row>
    <row r="1237" customFormat="1" s="82">
      <c r="O1237" s="89" t="n"/>
    </row>
    <row r="1238" customFormat="1" s="82">
      <c r="O1238" s="89" t="n"/>
    </row>
    <row r="1239" customFormat="1" s="82">
      <c r="O1239" s="89" t="n"/>
    </row>
    <row r="1240" customFormat="1" s="82">
      <c r="O1240" s="89" t="n"/>
    </row>
    <row r="1241" customFormat="1" s="82">
      <c r="O1241" s="89" t="n"/>
    </row>
    <row r="1242" customFormat="1" s="82">
      <c r="O1242" s="89" t="n"/>
    </row>
    <row r="1243" customFormat="1" s="82">
      <c r="O1243" s="89" t="n"/>
    </row>
    <row r="1244" customFormat="1" s="82">
      <c r="O1244" s="89" t="n"/>
    </row>
    <row r="1245" customFormat="1" s="82">
      <c r="O1245" s="89" t="n"/>
    </row>
    <row r="1246" customFormat="1" s="82">
      <c r="O1246" s="89" t="n"/>
    </row>
    <row r="1247" customFormat="1" s="82">
      <c r="O1247" s="89" t="n"/>
    </row>
    <row r="1248" customFormat="1" s="82">
      <c r="O1248" s="89" t="n"/>
    </row>
    <row r="1249" customFormat="1" s="82">
      <c r="O1249" s="89" t="n"/>
    </row>
    <row r="1250" customFormat="1" s="82">
      <c r="O1250" s="89" t="n"/>
    </row>
    <row r="1251" customFormat="1" s="82">
      <c r="O1251" s="89" t="n"/>
    </row>
    <row r="1252" customFormat="1" s="82">
      <c r="O1252" s="89" t="n"/>
    </row>
    <row r="1253" customFormat="1" s="82">
      <c r="O1253" s="89" t="n"/>
    </row>
    <row r="1254" customFormat="1" s="82">
      <c r="O1254" s="89" t="n"/>
    </row>
    <row r="1255" customFormat="1" s="82">
      <c r="O1255" s="89" t="n"/>
    </row>
    <row r="1256" customFormat="1" s="82">
      <c r="O1256" s="89" t="n"/>
    </row>
    <row r="1257" customFormat="1" s="82">
      <c r="O1257" s="89" t="n"/>
    </row>
    <row r="1258" customFormat="1" s="82">
      <c r="O1258" s="89" t="n"/>
    </row>
    <row r="1259" customFormat="1" s="82">
      <c r="O1259" s="89" t="n"/>
    </row>
    <row r="1260" customFormat="1" s="82">
      <c r="O1260" s="89" t="n"/>
    </row>
    <row r="1261" customFormat="1" s="82">
      <c r="O1261" s="89" t="n"/>
    </row>
    <row r="1262" customFormat="1" s="82">
      <c r="O1262" s="89" t="n"/>
    </row>
    <row r="1263" customFormat="1" s="82">
      <c r="O1263" s="89" t="n"/>
    </row>
    <row r="1264" customFormat="1" s="82">
      <c r="O1264" s="89" t="n"/>
    </row>
    <row r="1265" customFormat="1" s="82">
      <c r="O1265" s="89" t="n"/>
    </row>
    <row r="1266" customFormat="1" s="82">
      <c r="O1266" s="89" t="n"/>
    </row>
    <row r="1267" customFormat="1" s="82">
      <c r="O1267" s="89" t="n"/>
    </row>
    <row r="1268" customFormat="1" s="82">
      <c r="O1268" s="89" t="n"/>
    </row>
    <row r="1269" customFormat="1" s="82">
      <c r="O1269" s="89" t="n"/>
    </row>
    <row r="1270" customFormat="1" s="82">
      <c r="O1270" s="89" t="n"/>
    </row>
    <row r="1271" customFormat="1" s="82">
      <c r="O1271" s="89" t="n"/>
    </row>
    <row r="1272" customFormat="1" s="82">
      <c r="O1272" s="89" t="n"/>
    </row>
    <row r="1273" customFormat="1" s="82">
      <c r="O1273" s="89" t="n"/>
    </row>
    <row r="1274" customFormat="1" s="82">
      <c r="O1274" s="89" t="n"/>
    </row>
    <row r="1275" customFormat="1" s="82">
      <c r="O1275" s="89" t="n"/>
    </row>
    <row r="1276" customFormat="1" s="82">
      <c r="O1276" s="89" t="n"/>
    </row>
    <row r="1277" customFormat="1" s="82">
      <c r="O1277" s="89" t="n"/>
    </row>
    <row r="1278" customFormat="1" s="82">
      <c r="O1278" s="89" t="n"/>
    </row>
    <row r="1279" customFormat="1" s="82">
      <c r="O1279" s="89" t="n"/>
    </row>
    <row r="1280" customFormat="1" s="82">
      <c r="O1280" s="89" t="n"/>
    </row>
    <row r="1281" customFormat="1" s="82">
      <c r="O1281" s="89" t="n"/>
    </row>
    <row r="1282" customFormat="1" s="82">
      <c r="O1282" s="89" t="n"/>
    </row>
    <row r="1283" customFormat="1" s="82">
      <c r="O1283" s="89" t="n"/>
    </row>
    <row r="1284" customFormat="1" s="82">
      <c r="O1284" s="89" t="n"/>
    </row>
    <row r="1285" customFormat="1" s="82">
      <c r="O1285" s="89" t="n"/>
    </row>
    <row r="1286" customFormat="1" s="82">
      <c r="O1286" s="89" t="n"/>
    </row>
    <row r="1287" customFormat="1" s="82">
      <c r="O1287" s="89" t="n"/>
    </row>
    <row r="1288" customFormat="1" s="82">
      <c r="O1288" s="89" t="n"/>
    </row>
    <row r="1289" customFormat="1" s="82">
      <c r="O1289" s="89" t="n"/>
    </row>
    <row r="1290" customFormat="1" s="82">
      <c r="O1290" s="89" t="n"/>
    </row>
    <row r="1291" customFormat="1" s="82">
      <c r="O1291" s="89" t="n"/>
    </row>
    <row r="1292" customFormat="1" s="82">
      <c r="O1292" s="89" t="n"/>
    </row>
    <row r="1293" customFormat="1" s="82">
      <c r="O1293" s="89" t="n"/>
    </row>
    <row r="1294" customFormat="1" s="82">
      <c r="O1294" s="89" t="n"/>
    </row>
    <row r="1295" customFormat="1" s="82">
      <c r="O1295" s="89" t="n"/>
    </row>
    <row r="1296" customFormat="1" s="82">
      <c r="O1296" s="89" t="n"/>
    </row>
    <row r="1297" customFormat="1" s="82">
      <c r="O1297" s="89" t="n"/>
    </row>
    <row r="1298" customFormat="1" s="82">
      <c r="O1298" s="89" t="n"/>
    </row>
    <row r="1299" customFormat="1" s="82">
      <c r="O1299" s="89" t="n"/>
    </row>
    <row r="1300" customFormat="1" s="82">
      <c r="O1300" s="89" t="n"/>
    </row>
    <row r="1301" customFormat="1" s="82">
      <c r="O1301" s="89" t="n"/>
    </row>
    <row r="1302" customFormat="1" s="82">
      <c r="O1302" s="89" t="n"/>
    </row>
    <row r="1303" customFormat="1" s="82">
      <c r="O1303" s="89" t="n"/>
    </row>
    <row r="1304" customFormat="1" s="82">
      <c r="O1304" s="89" t="n"/>
    </row>
    <row r="1305" customFormat="1" s="82">
      <c r="O1305" s="89" t="n"/>
    </row>
    <row r="1306" customFormat="1" s="82">
      <c r="O1306" s="89" t="n"/>
    </row>
    <row r="1307" customFormat="1" s="82">
      <c r="O1307" s="89" t="n"/>
    </row>
    <row r="1308" customFormat="1" s="82">
      <c r="O1308" s="89" t="n"/>
    </row>
    <row r="1309" customFormat="1" s="82">
      <c r="O1309" s="89" t="n"/>
    </row>
    <row r="1310" customFormat="1" s="82">
      <c r="O1310" s="89" t="n"/>
    </row>
    <row r="1311" customFormat="1" s="82">
      <c r="O1311" s="89" t="n"/>
    </row>
    <row r="1312" customFormat="1" s="82">
      <c r="O1312" s="89" t="n"/>
    </row>
    <row r="1313" customFormat="1" s="82">
      <c r="O1313" s="89" t="n"/>
    </row>
    <row r="1314" customFormat="1" s="82">
      <c r="O1314" s="89" t="n"/>
    </row>
    <row r="1315" customFormat="1" s="82">
      <c r="O1315" s="89" t="n"/>
    </row>
    <row r="1316" customFormat="1" s="82">
      <c r="O1316" s="89" t="n"/>
    </row>
    <row r="1317" customFormat="1" s="82">
      <c r="O1317" s="89" t="n"/>
    </row>
    <row r="1318" customFormat="1" s="82">
      <c r="O1318" s="89" t="n"/>
    </row>
    <row r="1319" customFormat="1" s="82">
      <c r="O1319" s="89" t="n"/>
    </row>
    <row r="1320" customFormat="1" s="82">
      <c r="O1320" s="89" t="n"/>
    </row>
    <row r="1321" customFormat="1" s="82">
      <c r="O1321" s="89" t="n"/>
    </row>
    <row r="1322" customFormat="1" s="82">
      <c r="O1322" s="89" t="n"/>
    </row>
    <row r="1323" customFormat="1" s="82">
      <c r="O1323" s="89" t="n"/>
    </row>
    <row r="1324" customFormat="1" s="82">
      <c r="O1324" s="89" t="n"/>
    </row>
    <row r="1325" customFormat="1" s="82">
      <c r="O1325" s="89" t="n"/>
    </row>
    <row r="1326" customFormat="1" s="82">
      <c r="O1326" s="89" t="n"/>
    </row>
    <row r="1327" customFormat="1" s="82">
      <c r="O1327" s="89" t="n"/>
    </row>
    <row r="1328" customFormat="1" s="82">
      <c r="O1328" s="89" t="n"/>
    </row>
    <row r="1329" customFormat="1" s="82">
      <c r="O1329" s="89" t="n"/>
    </row>
    <row r="1330" customFormat="1" s="82">
      <c r="O1330" s="89" t="n"/>
    </row>
    <row r="1331" customFormat="1" s="82">
      <c r="O1331" s="89" t="n"/>
    </row>
    <row r="1332" customFormat="1" s="82">
      <c r="O1332" s="89" t="n"/>
    </row>
    <row r="1333" customFormat="1" s="82">
      <c r="O1333" s="89" t="n"/>
    </row>
    <row r="1334" customFormat="1" s="82">
      <c r="O1334" s="89" t="n"/>
    </row>
    <row r="1335" customFormat="1" s="82">
      <c r="O1335" s="89" t="n"/>
    </row>
    <row r="1336" customFormat="1" s="82">
      <c r="O1336" s="89" t="n"/>
    </row>
    <row r="1337" customFormat="1" s="82">
      <c r="O1337" s="89" t="n"/>
    </row>
    <row r="1338" customFormat="1" s="82">
      <c r="O1338" s="89" t="n"/>
    </row>
    <row r="1339" customFormat="1" s="82">
      <c r="O1339" s="89" t="n"/>
    </row>
    <row r="1340" customFormat="1" s="82">
      <c r="O1340" s="89" t="n"/>
    </row>
    <row r="1341" customFormat="1" s="82">
      <c r="O1341" s="89" t="n"/>
    </row>
    <row r="1342" customFormat="1" s="82">
      <c r="O1342" s="89" t="n"/>
    </row>
    <row r="1343" customFormat="1" s="82">
      <c r="O1343" s="89" t="n"/>
    </row>
    <row r="1344" customFormat="1" s="82">
      <c r="O1344" s="89" t="n"/>
    </row>
    <row r="1345" customFormat="1" s="82">
      <c r="O1345" s="89" t="n"/>
    </row>
    <row r="1346" customFormat="1" s="82">
      <c r="O1346" s="89" t="n"/>
    </row>
    <row r="1347" customFormat="1" s="82">
      <c r="O1347" s="89" t="n"/>
    </row>
    <row r="1348" customFormat="1" s="82">
      <c r="O1348" s="89" t="n"/>
    </row>
    <row r="1349" customFormat="1" s="82">
      <c r="O1349" s="89" t="n"/>
    </row>
    <row r="1350" customFormat="1" s="82">
      <c r="O1350" s="89" t="n"/>
    </row>
    <row r="1351" customFormat="1" s="82">
      <c r="O1351" s="89" t="n"/>
    </row>
    <row r="1352" customFormat="1" s="82">
      <c r="O1352" s="89" t="n"/>
    </row>
    <row r="1353" customFormat="1" s="82">
      <c r="O1353" s="89" t="n"/>
    </row>
    <row r="1354" customFormat="1" s="82">
      <c r="O1354" s="89" t="n"/>
    </row>
    <row r="1355" customFormat="1" s="82">
      <c r="O1355" s="89" t="n"/>
    </row>
    <row r="1356" customFormat="1" s="82">
      <c r="O1356" s="89" t="n"/>
    </row>
    <row r="1357" customFormat="1" s="82">
      <c r="O1357" s="89" t="n"/>
    </row>
    <row r="1358" customFormat="1" s="82">
      <c r="O1358" s="89" t="n"/>
    </row>
    <row r="1359" customFormat="1" s="82">
      <c r="O1359" s="89" t="n"/>
    </row>
    <row r="1360" customFormat="1" s="82">
      <c r="O1360" s="89" t="n"/>
    </row>
    <row r="1361" customFormat="1" s="82">
      <c r="O1361" s="89" t="n"/>
    </row>
    <row r="1362" customFormat="1" s="82">
      <c r="O1362" s="89" t="n"/>
    </row>
    <row r="1363" customFormat="1" s="82">
      <c r="O1363" s="89" t="n"/>
    </row>
    <row r="1364" customFormat="1" s="82">
      <c r="O1364" s="89" t="n"/>
    </row>
    <row r="1365" customFormat="1" s="82">
      <c r="O1365" s="89" t="n"/>
    </row>
    <row r="1366" customFormat="1" s="82">
      <c r="O1366" s="89" t="n"/>
    </row>
    <row r="1367" customFormat="1" s="82">
      <c r="O1367" s="89" t="n"/>
    </row>
    <row r="1368" customFormat="1" s="82">
      <c r="O1368" s="89" t="n"/>
    </row>
    <row r="1369" customFormat="1" s="82">
      <c r="O1369" s="89" t="n"/>
    </row>
    <row r="1370" customFormat="1" s="82">
      <c r="O1370" s="89" t="n"/>
    </row>
    <row r="1371" customFormat="1" s="82">
      <c r="O1371" s="89" t="n"/>
    </row>
    <row r="1372" customFormat="1" s="82">
      <c r="O1372" s="89" t="n"/>
    </row>
    <row r="1373" customFormat="1" s="82">
      <c r="O1373" s="89" t="n"/>
    </row>
    <row r="1374" customFormat="1" s="82">
      <c r="O1374" s="89" t="n"/>
    </row>
    <row r="1375" customFormat="1" s="82">
      <c r="O1375" s="89" t="n"/>
    </row>
    <row r="1376" customFormat="1" s="82">
      <c r="O1376" s="89" t="n"/>
    </row>
    <row r="1377" customFormat="1" s="82">
      <c r="O1377" s="89" t="n"/>
    </row>
    <row r="1378" customFormat="1" s="82">
      <c r="O1378" s="89" t="n"/>
    </row>
    <row r="1379" customFormat="1" s="82">
      <c r="O1379" s="89" t="n"/>
    </row>
    <row r="1380" customFormat="1" s="82">
      <c r="O1380" s="89" t="n"/>
    </row>
    <row r="1381" customFormat="1" s="82">
      <c r="O1381" s="89" t="n"/>
    </row>
    <row r="1382" customFormat="1" s="82">
      <c r="O1382" s="89" t="n"/>
    </row>
    <row r="1383" customFormat="1" s="82">
      <c r="O1383" s="89" t="n"/>
    </row>
    <row r="1384" customFormat="1" s="82">
      <c r="O1384" s="89" t="n"/>
    </row>
    <row r="1385" customFormat="1" s="82">
      <c r="O1385" s="89" t="n"/>
    </row>
    <row r="1386" customFormat="1" s="82">
      <c r="O1386" s="89" t="n"/>
    </row>
    <row r="1387" customFormat="1" s="82">
      <c r="O1387" s="89" t="n"/>
    </row>
    <row r="1388" customFormat="1" s="82">
      <c r="O1388" s="89" t="n"/>
    </row>
    <row r="1389" customFormat="1" s="82">
      <c r="O1389" s="89" t="n"/>
    </row>
    <row r="1390" customFormat="1" s="82">
      <c r="O1390" s="89" t="n"/>
    </row>
    <row r="1391" customFormat="1" s="82">
      <c r="O1391" s="89" t="n"/>
    </row>
    <row r="1392" customFormat="1" s="82">
      <c r="O1392" s="89" t="n"/>
    </row>
    <row r="1393" customFormat="1" s="82">
      <c r="O1393" s="89" t="n"/>
    </row>
    <row r="1394" customFormat="1" s="82">
      <c r="O1394" s="89" t="n"/>
    </row>
    <row r="1395" customFormat="1" s="82">
      <c r="O1395" s="89" t="n"/>
    </row>
    <row r="1396" customFormat="1" s="82">
      <c r="O1396" s="89" t="n"/>
    </row>
    <row r="1397" customFormat="1" s="82">
      <c r="O1397" s="89" t="n"/>
    </row>
    <row r="1398" customFormat="1" s="82">
      <c r="O1398" s="89" t="n"/>
    </row>
    <row r="1399" customFormat="1" s="82">
      <c r="O1399" s="89" t="n"/>
    </row>
    <row r="1400" customFormat="1" s="82">
      <c r="O1400" s="89" t="n"/>
    </row>
    <row r="1401" customFormat="1" s="82">
      <c r="O1401" s="89" t="n"/>
    </row>
    <row r="1402" customFormat="1" s="82">
      <c r="O1402" s="89" t="n"/>
    </row>
    <row r="1403" customFormat="1" s="82">
      <c r="O1403" s="89" t="n"/>
    </row>
    <row r="1404" customFormat="1" s="82">
      <c r="O1404" s="89" t="n"/>
    </row>
    <row r="1405" customFormat="1" s="82">
      <c r="O1405" s="89" t="n"/>
    </row>
    <row r="1406" customFormat="1" s="82">
      <c r="O1406" s="89" t="n"/>
    </row>
    <row r="1407" customFormat="1" s="82">
      <c r="O1407" s="89" t="n"/>
    </row>
    <row r="1408" customFormat="1" s="82">
      <c r="O1408" s="89" t="n"/>
    </row>
    <row r="1409" customFormat="1" s="82">
      <c r="O1409" s="89" t="n"/>
    </row>
    <row r="1410" customFormat="1" s="82">
      <c r="O1410" s="89" t="n"/>
    </row>
    <row r="1411" customFormat="1" s="82">
      <c r="O1411" s="89" t="n"/>
    </row>
    <row r="1412" customFormat="1" s="82">
      <c r="O1412" s="89" t="n"/>
    </row>
    <row r="1413" customFormat="1" s="82">
      <c r="O1413" s="89" t="n"/>
    </row>
    <row r="1414" customFormat="1" s="82">
      <c r="O1414" s="89" t="n"/>
    </row>
    <row r="1415" customFormat="1" s="82">
      <c r="O1415" s="89" t="n"/>
    </row>
    <row r="1416" customFormat="1" s="82">
      <c r="O1416" s="89" t="n"/>
    </row>
    <row r="1417" customFormat="1" s="82">
      <c r="O1417" s="89" t="n"/>
    </row>
    <row r="1418" customFormat="1" s="82">
      <c r="O1418" s="89" t="n"/>
    </row>
    <row r="1419" customFormat="1" s="82">
      <c r="O1419" s="89" t="n"/>
    </row>
    <row r="1420" customFormat="1" s="82">
      <c r="O1420" s="89" t="n"/>
    </row>
    <row r="1421" customFormat="1" s="82">
      <c r="O1421" s="89" t="n"/>
    </row>
    <row r="1422" customFormat="1" s="82">
      <c r="O1422" s="89" t="n"/>
    </row>
    <row r="1423" customFormat="1" s="82">
      <c r="O1423" s="89" t="n"/>
    </row>
    <row r="1424" customFormat="1" s="82">
      <c r="O1424" s="89" t="n"/>
    </row>
    <row r="1425" customFormat="1" s="82">
      <c r="O1425" s="89" t="n"/>
    </row>
    <row r="1426" customFormat="1" s="82">
      <c r="O1426" s="89" t="n"/>
    </row>
    <row r="1427" customFormat="1" s="82">
      <c r="O1427" s="89" t="n"/>
    </row>
    <row r="1428" customFormat="1" s="82">
      <c r="O1428" s="89" t="n"/>
    </row>
    <row r="1429" customFormat="1" s="82">
      <c r="O1429" s="89" t="n"/>
    </row>
    <row r="1430" customFormat="1" s="82">
      <c r="O1430" s="89" t="n"/>
    </row>
    <row r="1431" customFormat="1" s="82">
      <c r="O1431" s="89" t="n"/>
    </row>
    <row r="1432" customFormat="1" s="82">
      <c r="O1432" s="89" t="n"/>
    </row>
    <row r="1433" customFormat="1" s="82">
      <c r="O1433" s="89" t="n"/>
    </row>
    <row r="1434" customFormat="1" s="82">
      <c r="O1434" s="89" t="n"/>
    </row>
    <row r="1435" customFormat="1" s="82">
      <c r="O1435" s="89" t="n"/>
    </row>
    <row r="1436" customFormat="1" s="82">
      <c r="O1436" s="89" t="n"/>
    </row>
    <row r="1437" customFormat="1" s="82">
      <c r="O1437" s="89" t="n"/>
    </row>
    <row r="1438" customFormat="1" s="82">
      <c r="O1438" s="89" t="n"/>
    </row>
    <row r="1439" customFormat="1" s="82">
      <c r="O1439" s="89" t="n"/>
    </row>
    <row r="1440" customFormat="1" s="82">
      <c r="O1440" s="89" t="n"/>
    </row>
    <row r="1441" customFormat="1" s="82">
      <c r="O1441" s="89" t="n"/>
    </row>
    <row r="1442" customFormat="1" s="82">
      <c r="O1442" s="89" t="n"/>
    </row>
    <row r="1443" customFormat="1" s="82">
      <c r="O1443" s="89" t="n"/>
    </row>
    <row r="1444" customFormat="1" s="82">
      <c r="O1444" s="89" t="n"/>
    </row>
    <row r="1445" customFormat="1" s="82">
      <c r="O1445" s="89" t="n"/>
    </row>
    <row r="1446" customFormat="1" s="82">
      <c r="O1446" s="89" t="n"/>
    </row>
    <row r="1447" customFormat="1" s="82">
      <c r="O1447" s="89" t="n"/>
    </row>
    <row r="1448" customFormat="1" s="82">
      <c r="O1448" s="89" t="n"/>
    </row>
    <row r="1449" customFormat="1" s="82">
      <c r="O1449" s="89" t="n"/>
    </row>
    <row r="1450" customFormat="1" s="82">
      <c r="O1450" s="89" t="n"/>
    </row>
    <row r="1451" customFormat="1" s="82">
      <c r="O1451" s="89" t="n"/>
    </row>
    <row r="1452" customFormat="1" s="82">
      <c r="O1452" s="89" t="n"/>
    </row>
    <row r="1453" customFormat="1" s="82">
      <c r="O1453" s="89" t="n"/>
    </row>
    <row r="1454" customFormat="1" s="82">
      <c r="O1454" s="89" t="n"/>
    </row>
    <row r="1455" customFormat="1" s="82">
      <c r="O1455" s="89" t="n"/>
    </row>
    <row r="1456" customFormat="1" s="82">
      <c r="O1456" s="89" t="n"/>
    </row>
    <row r="1457" customFormat="1" s="82">
      <c r="O1457" s="89" t="n"/>
    </row>
    <row r="1458" customFormat="1" s="82">
      <c r="O1458" s="89" t="n"/>
    </row>
    <row r="1459" customFormat="1" s="82">
      <c r="O1459" s="89" t="n"/>
    </row>
    <row r="1460" customFormat="1" s="82">
      <c r="O1460" s="89" t="n"/>
    </row>
    <row r="1461" customFormat="1" s="82">
      <c r="O1461" s="89" t="n"/>
    </row>
    <row r="1462" customFormat="1" s="82">
      <c r="O1462" s="89" t="n"/>
    </row>
    <row r="1463" customFormat="1" s="82">
      <c r="O1463" s="89" t="n"/>
    </row>
    <row r="1464" customFormat="1" s="82">
      <c r="O1464" s="89" t="n"/>
    </row>
    <row r="1465" customFormat="1" s="82">
      <c r="O1465" s="89" t="n"/>
    </row>
    <row r="1466" customFormat="1" s="82">
      <c r="O1466" s="89" t="n"/>
    </row>
    <row r="1467" customFormat="1" s="82">
      <c r="O1467" s="89" t="n"/>
    </row>
    <row r="1468" customFormat="1" s="82">
      <c r="O1468" s="89" t="n"/>
    </row>
    <row r="1469" customFormat="1" s="82">
      <c r="O1469" s="89" t="n"/>
    </row>
    <row r="1470" customFormat="1" s="82">
      <c r="O1470" s="89" t="n"/>
    </row>
    <row r="1471" customFormat="1" s="82">
      <c r="O1471" s="89" t="n"/>
    </row>
    <row r="1472" customFormat="1" s="82">
      <c r="O1472" s="89" t="n"/>
    </row>
    <row r="1473" customFormat="1" s="82">
      <c r="O1473" s="89" t="n"/>
    </row>
    <row r="1474" customFormat="1" s="82">
      <c r="O1474" s="89" t="n"/>
    </row>
    <row r="1475" customFormat="1" s="82">
      <c r="O1475" s="89" t="n"/>
    </row>
    <row r="1476" customFormat="1" s="82">
      <c r="O1476" s="89" t="n"/>
    </row>
    <row r="1477" customFormat="1" s="82">
      <c r="O1477" s="89" t="n"/>
    </row>
    <row r="1478" customFormat="1" s="82">
      <c r="O1478" s="89" t="n"/>
    </row>
    <row r="1479" customFormat="1" s="82">
      <c r="O1479" s="89" t="n"/>
    </row>
    <row r="1480" customFormat="1" s="82">
      <c r="O1480" s="89" t="n"/>
    </row>
    <row r="1481" customFormat="1" s="82">
      <c r="O1481" s="89" t="n"/>
    </row>
    <row r="1482" customFormat="1" s="82">
      <c r="O1482" s="89" t="n"/>
    </row>
    <row r="1483" customFormat="1" s="82">
      <c r="O1483" s="89" t="n"/>
    </row>
    <row r="1484" customFormat="1" s="82">
      <c r="O1484" s="89" t="n"/>
    </row>
    <row r="1485" customFormat="1" s="82">
      <c r="O1485" s="89" t="n"/>
    </row>
    <row r="1486" customFormat="1" s="82">
      <c r="O1486" s="89" t="n"/>
    </row>
    <row r="1487" customFormat="1" s="82">
      <c r="O1487" s="89" t="n"/>
    </row>
    <row r="1488" customFormat="1" s="82">
      <c r="O1488" s="89" t="n"/>
    </row>
    <row r="1489" customFormat="1" s="82">
      <c r="O1489" s="89" t="n"/>
    </row>
    <row r="1490" customFormat="1" s="82">
      <c r="O1490" s="89" t="n"/>
    </row>
    <row r="1491" customFormat="1" s="82">
      <c r="O1491" s="89" t="n"/>
    </row>
    <row r="1492" customFormat="1" s="82">
      <c r="O1492" s="89" t="n"/>
    </row>
    <row r="1493" customFormat="1" s="82">
      <c r="O1493" s="89" t="n"/>
    </row>
    <row r="1494" customFormat="1" s="82">
      <c r="O1494" s="89" t="n"/>
    </row>
    <row r="1495" customFormat="1" s="82">
      <c r="O1495" s="89" t="n"/>
    </row>
    <row r="1496" customFormat="1" s="82">
      <c r="O1496" s="89" t="n"/>
    </row>
    <row r="1497" customFormat="1" s="82">
      <c r="O1497" s="89" t="n"/>
    </row>
    <row r="1498" customFormat="1" s="82">
      <c r="O1498" s="89" t="n"/>
    </row>
    <row r="1499" customFormat="1" s="82">
      <c r="O1499" s="89" t="n"/>
    </row>
    <row r="1500" customFormat="1" s="82">
      <c r="O1500" s="89" t="n"/>
    </row>
    <row r="1501" customFormat="1" s="82">
      <c r="O1501" s="89" t="n"/>
    </row>
    <row r="1502" customFormat="1" s="82">
      <c r="O1502" s="89" t="n"/>
    </row>
    <row r="1503" customFormat="1" s="82">
      <c r="O1503" s="89" t="n"/>
    </row>
    <row r="1504" customFormat="1" s="82">
      <c r="O1504" s="89" t="n"/>
    </row>
    <row r="1505" customFormat="1" s="82">
      <c r="O1505" s="89" t="n"/>
    </row>
    <row r="1506" customFormat="1" s="82">
      <c r="O1506" s="89" t="n"/>
    </row>
    <row r="1507" customFormat="1" s="82">
      <c r="O1507" s="89" t="n"/>
    </row>
    <row r="1508" customFormat="1" s="82">
      <c r="O1508" s="89" t="n"/>
    </row>
    <row r="1509" customFormat="1" s="82">
      <c r="O1509" s="89" t="n"/>
    </row>
    <row r="1510" customFormat="1" s="82">
      <c r="O1510" s="89" t="n"/>
    </row>
    <row r="1511" customFormat="1" s="82">
      <c r="O1511" s="89" t="n"/>
    </row>
    <row r="1512" customFormat="1" s="82">
      <c r="O1512" s="89" t="n"/>
    </row>
    <row r="1513" customFormat="1" s="82">
      <c r="O1513" s="89" t="n"/>
    </row>
    <row r="1514" customFormat="1" s="82">
      <c r="O1514" s="89" t="n"/>
    </row>
    <row r="1515" customFormat="1" s="82">
      <c r="O1515" s="89" t="n"/>
    </row>
    <row r="1516" customFormat="1" s="82">
      <c r="O1516" s="89" t="n"/>
    </row>
    <row r="1517" customFormat="1" s="82">
      <c r="O1517" s="89" t="n"/>
    </row>
    <row r="1518" customFormat="1" s="82">
      <c r="O1518" s="89" t="n"/>
    </row>
    <row r="1519" customFormat="1" s="82">
      <c r="O1519" s="89" t="n"/>
    </row>
    <row r="1520" customFormat="1" s="82">
      <c r="O1520" s="89" t="n"/>
    </row>
    <row r="1521" customFormat="1" s="82">
      <c r="O1521" s="89" t="n"/>
    </row>
    <row r="1522" customFormat="1" s="82">
      <c r="O1522" s="89" t="n"/>
    </row>
    <row r="1523" customFormat="1" s="82">
      <c r="O1523" s="89" t="n"/>
    </row>
    <row r="1524" customFormat="1" s="82">
      <c r="O1524" s="89" t="n"/>
    </row>
    <row r="1525" customFormat="1" s="82">
      <c r="O1525" s="89" t="n"/>
    </row>
    <row r="1526" customFormat="1" s="82">
      <c r="O1526" s="89" t="n"/>
    </row>
    <row r="1527" customFormat="1" s="82">
      <c r="O1527" s="89" t="n"/>
    </row>
    <row r="1528" customFormat="1" s="82">
      <c r="O1528" s="89" t="n"/>
    </row>
    <row r="1529" customFormat="1" s="82">
      <c r="O1529" s="89" t="n"/>
    </row>
    <row r="1530" customFormat="1" s="82">
      <c r="O1530" s="89" t="n"/>
    </row>
    <row r="1531" customFormat="1" s="82">
      <c r="O1531" s="89" t="n"/>
    </row>
    <row r="1532" customFormat="1" s="82">
      <c r="O1532" s="89" t="n"/>
    </row>
    <row r="1533" customFormat="1" s="82">
      <c r="O1533" s="89" t="n"/>
    </row>
    <row r="1534" customFormat="1" s="82">
      <c r="O1534" s="89" t="n"/>
    </row>
    <row r="1535" customFormat="1" s="82">
      <c r="O1535" s="89" t="n"/>
    </row>
    <row r="1536" customFormat="1" s="82">
      <c r="O1536" s="89" t="n"/>
    </row>
    <row r="1537" customFormat="1" s="82">
      <c r="O1537" s="89" t="n"/>
    </row>
    <row r="1538" customFormat="1" s="82">
      <c r="O1538" s="89" t="n"/>
    </row>
    <row r="1539" customFormat="1" s="82">
      <c r="O1539" s="89" t="n"/>
    </row>
    <row r="1540" customFormat="1" s="82">
      <c r="O1540" s="89" t="n"/>
    </row>
    <row r="1541" customFormat="1" s="82">
      <c r="O1541" s="89" t="n"/>
    </row>
    <row r="1542" customFormat="1" s="82">
      <c r="O1542" s="89" t="n"/>
    </row>
    <row r="1543" customFormat="1" s="82">
      <c r="O1543" s="89" t="n"/>
    </row>
    <row r="1544" customFormat="1" s="82">
      <c r="O1544" s="89" t="n"/>
    </row>
    <row r="1545" customFormat="1" s="82">
      <c r="O1545" s="89" t="n"/>
    </row>
    <row r="1546" customFormat="1" s="82">
      <c r="O1546" s="89" t="n"/>
    </row>
    <row r="1547" customFormat="1" s="82">
      <c r="O1547" s="89" t="n"/>
    </row>
    <row r="1548" customFormat="1" s="82">
      <c r="O1548" s="89" t="n"/>
    </row>
    <row r="1549" customFormat="1" s="82">
      <c r="O1549" s="89" t="n"/>
    </row>
    <row r="1550" customFormat="1" s="82">
      <c r="O1550" s="89" t="n"/>
    </row>
    <row r="1551" customFormat="1" s="82">
      <c r="O1551" s="89" t="n"/>
    </row>
    <row r="1552" customFormat="1" s="82">
      <c r="O1552" s="89" t="n"/>
    </row>
    <row r="1553" customFormat="1" s="82">
      <c r="O1553" s="89" t="n"/>
    </row>
    <row r="1554" customFormat="1" s="82">
      <c r="O1554" s="89" t="n"/>
    </row>
    <row r="1555" customFormat="1" s="82">
      <c r="O1555" s="89" t="n"/>
    </row>
    <row r="1556" customFormat="1" s="82">
      <c r="O1556" s="89" t="n"/>
    </row>
    <row r="1557" customFormat="1" s="82">
      <c r="O1557" s="89" t="n"/>
    </row>
    <row r="1558" customFormat="1" s="82">
      <c r="O1558" s="89" t="n"/>
    </row>
    <row r="1559" customFormat="1" s="82">
      <c r="O1559" s="89" t="n"/>
    </row>
    <row r="1560" customFormat="1" s="82">
      <c r="O1560" s="89" t="n"/>
    </row>
    <row r="1561" customFormat="1" s="82">
      <c r="O1561" s="89" t="n"/>
    </row>
    <row r="1562" customFormat="1" s="82">
      <c r="O1562" s="89" t="n"/>
    </row>
    <row r="1563" customFormat="1" s="82">
      <c r="O1563" s="89" t="n"/>
    </row>
    <row r="1564" customFormat="1" s="82">
      <c r="O1564" s="89" t="n"/>
    </row>
    <row r="1565" customFormat="1" s="82">
      <c r="O1565" s="89" t="n"/>
    </row>
    <row r="1566" customFormat="1" s="82">
      <c r="O1566" s="89" t="n"/>
    </row>
    <row r="1567" customFormat="1" s="82">
      <c r="O1567" s="89" t="n"/>
    </row>
    <row r="1568" customFormat="1" s="82">
      <c r="O1568" s="89" t="n"/>
    </row>
    <row r="1569" customFormat="1" s="82">
      <c r="O1569" s="89" t="n"/>
    </row>
    <row r="1570" customFormat="1" s="82">
      <c r="O1570" s="89" t="n"/>
    </row>
    <row r="1571" customFormat="1" s="82">
      <c r="O1571" s="89" t="n"/>
    </row>
    <row r="1572" customFormat="1" s="82">
      <c r="O1572" s="89" t="n"/>
    </row>
    <row r="1573" customFormat="1" s="82">
      <c r="O1573" s="89" t="n"/>
    </row>
    <row r="1574" customFormat="1" s="82">
      <c r="O1574" s="89" t="n"/>
    </row>
    <row r="1575" customFormat="1" s="82">
      <c r="O1575" s="89" t="n"/>
    </row>
    <row r="1576" customFormat="1" s="82">
      <c r="O1576" s="89" t="n"/>
    </row>
    <row r="1577" customFormat="1" s="82">
      <c r="O1577" s="89" t="n"/>
    </row>
    <row r="1578" customFormat="1" s="82">
      <c r="O1578" s="89" t="n"/>
    </row>
    <row r="1579" customFormat="1" s="82">
      <c r="O1579" s="89" t="n"/>
    </row>
    <row r="1580" customFormat="1" s="82">
      <c r="O1580" s="89" t="n"/>
    </row>
    <row r="1581" customFormat="1" s="82">
      <c r="O1581" s="89" t="n"/>
    </row>
    <row r="1582" customFormat="1" s="82">
      <c r="O1582" s="89" t="n"/>
    </row>
    <row r="1583" customFormat="1" s="82">
      <c r="O1583" s="89" t="n"/>
    </row>
    <row r="1584" customFormat="1" s="82">
      <c r="O1584" s="89" t="n"/>
    </row>
    <row r="1585" customFormat="1" s="82">
      <c r="O1585" s="89" t="n"/>
    </row>
    <row r="1586" customFormat="1" s="82">
      <c r="O1586" s="89" t="n"/>
    </row>
    <row r="1587" customFormat="1" s="82">
      <c r="O1587" s="89" t="n"/>
    </row>
    <row r="1588" customFormat="1" s="82">
      <c r="O1588" s="89" t="n"/>
    </row>
    <row r="1589" customFormat="1" s="82">
      <c r="O1589" s="89" t="n"/>
    </row>
    <row r="1590" customFormat="1" s="82">
      <c r="O1590" s="89" t="n"/>
    </row>
    <row r="1591" customFormat="1" s="82">
      <c r="O1591" s="89" t="n"/>
    </row>
    <row r="1592" customFormat="1" s="82">
      <c r="O1592" s="89" t="n"/>
    </row>
    <row r="1593" customFormat="1" s="82">
      <c r="O1593" s="89" t="n"/>
    </row>
    <row r="1594" customFormat="1" s="82">
      <c r="O1594" s="89" t="n"/>
    </row>
    <row r="1595" customFormat="1" s="82">
      <c r="O1595" s="89" t="n"/>
    </row>
    <row r="1596" customFormat="1" s="82">
      <c r="O1596" s="89" t="n"/>
    </row>
    <row r="1597" customFormat="1" s="82">
      <c r="O1597" s="89" t="n"/>
    </row>
    <row r="1598" customFormat="1" s="82">
      <c r="O1598" s="89" t="n"/>
    </row>
    <row r="1599" customFormat="1" s="82">
      <c r="O1599" s="89" t="n"/>
    </row>
    <row r="1600" customFormat="1" s="82">
      <c r="O1600" s="89" t="n"/>
    </row>
    <row r="1601" customFormat="1" s="82">
      <c r="O1601" s="89" t="n"/>
    </row>
    <row r="1602" customFormat="1" s="82">
      <c r="O1602" s="89" t="n"/>
    </row>
    <row r="1603" customFormat="1" s="82">
      <c r="O1603" s="89" t="n"/>
    </row>
    <row r="1604" customFormat="1" s="82">
      <c r="O1604" s="89" t="n"/>
    </row>
    <row r="1605" customFormat="1" s="82">
      <c r="O1605" s="89" t="n"/>
    </row>
    <row r="1606" customFormat="1" s="82">
      <c r="O1606" s="89" t="n"/>
    </row>
    <row r="1607" customFormat="1" s="82">
      <c r="O1607" s="89" t="n"/>
    </row>
    <row r="1608" customFormat="1" s="82">
      <c r="O1608" s="89" t="n"/>
    </row>
    <row r="1609" customFormat="1" s="82">
      <c r="O1609" s="89" t="n"/>
    </row>
    <row r="1610" customFormat="1" s="82">
      <c r="O1610" s="89" t="n"/>
    </row>
    <row r="1611" customFormat="1" s="82">
      <c r="O1611" s="89" t="n"/>
    </row>
    <row r="1612" customFormat="1" s="82">
      <c r="O1612" s="89" t="n"/>
    </row>
    <row r="1613" customFormat="1" s="82">
      <c r="O1613" s="89" t="n"/>
    </row>
    <row r="1614" customFormat="1" s="82">
      <c r="O1614" s="89" t="n"/>
    </row>
    <row r="1615" customFormat="1" s="82">
      <c r="O1615" s="89" t="n"/>
    </row>
    <row r="1616" customFormat="1" s="82">
      <c r="O1616" s="89" t="n"/>
    </row>
    <row r="1617" customFormat="1" s="82">
      <c r="O1617" s="89" t="n"/>
    </row>
    <row r="1618" customFormat="1" s="82">
      <c r="O1618" s="89" t="n"/>
    </row>
    <row r="1619" customFormat="1" s="82">
      <c r="O1619" s="89" t="n"/>
    </row>
    <row r="1620" customFormat="1" s="82">
      <c r="O1620" s="89" t="n"/>
    </row>
    <row r="1621" customFormat="1" s="82">
      <c r="O1621" s="89" t="n"/>
    </row>
    <row r="1622" customFormat="1" s="82">
      <c r="O1622" s="89" t="n"/>
    </row>
    <row r="1623" customFormat="1" s="82">
      <c r="O1623" s="89" t="n"/>
    </row>
    <row r="1624" customFormat="1" s="82">
      <c r="O1624" s="89" t="n"/>
    </row>
    <row r="1625" customFormat="1" s="82">
      <c r="O1625" s="89" t="n"/>
    </row>
    <row r="1626" customFormat="1" s="82">
      <c r="O1626" s="89" t="n"/>
    </row>
    <row r="1627" customFormat="1" s="82">
      <c r="O1627" s="89" t="n"/>
    </row>
    <row r="1628" customFormat="1" s="82">
      <c r="O1628" s="89" t="n"/>
    </row>
    <row r="1629" customFormat="1" s="82">
      <c r="O1629" s="89" t="n"/>
    </row>
    <row r="1630" customFormat="1" s="82">
      <c r="O1630" s="89" t="n"/>
    </row>
    <row r="1631" customFormat="1" s="82">
      <c r="O1631" s="89" t="n"/>
    </row>
    <row r="1632" customFormat="1" s="82">
      <c r="O1632" s="89" t="n"/>
    </row>
    <row r="1633" customFormat="1" s="82">
      <c r="O1633" s="89" t="n"/>
    </row>
    <row r="1634" customFormat="1" s="82">
      <c r="O1634" s="89" t="n"/>
    </row>
    <row r="1635" customFormat="1" s="82">
      <c r="O1635" s="89" t="n"/>
    </row>
    <row r="1636" customFormat="1" s="82">
      <c r="O1636" s="89" t="n"/>
    </row>
    <row r="1637" customFormat="1" s="82">
      <c r="O1637" s="89" t="n"/>
    </row>
    <row r="1638" customFormat="1" s="82">
      <c r="O1638" s="89" t="n"/>
    </row>
    <row r="1639" customFormat="1" s="82">
      <c r="O1639" s="89" t="n"/>
    </row>
    <row r="1640" customFormat="1" s="82">
      <c r="O1640" s="89" t="n"/>
    </row>
    <row r="1641" customFormat="1" s="82">
      <c r="O1641" s="89" t="n"/>
    </row>
    <row r="1642" customFormat="1" s="82">
      <c r="O1642" s="89" t="n"/>
    </row>
    <row r="1643" customFormat="1" s="82">
      <c r="O1643" s="89" t="n"/>
    </row>
    <row r="1644" customFormat="1" s="82">
      <c r="O1644" s="89" t="n"/>
    </row>
    <row r="1645" customFormat="1" s="82">
      <c r="O1645" s="89" t="n"/>
    </row>
    <row r="1646" customFormat="1" s="82">
      <c r="O1646" s="89" t="n"/>
    </row>
    <row r="1647" customFormat="1" s="82">
      <c r="O1647" s="89" t="n"/>
    </row>
    <row r="1648" customFormat="1" s="82">
      <c r="O1648" s="89" t="n"/>
    </row>
    <row r="1649" customFormat="1" s="82">
      <c r="O1649" s="89" t="n"/>
    </row>
    <row r="1650" customFormat="1" s="82">
      <c r="O1650" s="89" t="n"/>
    </row>
    <row r="1651" customFormat="1" s="82">
      <c r="O1651" s="89" t="n"/>
    </row>
    <row r="1652" customFormat="1" s="82">
      <c r="O1652" s="89" t="n"/>
    </row>
    <row r="1653" customFormat="1" s="82">
      <c r="O1653" s="89" t="n"/>
    </row>
    <row r="1654" customFormat="1" s="82">
      <c r="O1654" s="89" t="n"/>
    </row>
    <row r="1655" customFormat="1" s="82">
      <c r="O1655" s="89" t="n"/>
    </row>
    <row r="1656" customFormat="1" s="82">
      <c r="O1656" s="89" t="n"/>
    </row>
    <row r="1657" customFormat="1" s="82">
      <c r="O1657" s="89" t="n"/>
    </row>
    <row r="1658" customFormat="1" s="82">
      <c r="O1658" s="89" t="n"/>
    </row>
    <row r="1659" customFormat="1" s="82">
      <c r="O1659" s="89" t="n"/>
    </row>
    <row r="1660" customFormat="1" s="82">
      <c r="O1660" s="89" t="n"/>
    </row>
    <row r="1661" customFormat="1" s="82">
      <c r="O1661" s="89" t="n"/>
    </row>
    <row r="1662" customFormat="1" s="82">
      <c r="O1662" s="89" t="n"/>
    </row>
    <row r="1663" customFormat="1" s="82">
      <c r="O1663" s="89" t="n"/>
    </row>
    <row r="1664" customFormat="1" s="82">
      <c r="O1664" s="89" t="n"/>
    </row>
    <row r="1665" customFormat="1" s="82">
      <c r="O1665" s="89" t="n"/>
    </row>
    <row r="1666" customFormat="1" s="82">
      <c r="O1666" s="89" t="n"/>
    </row>
    <row r="1667" customFormat="1" s="82">
      <c r="O1667" s="89" t="n"/>
    </row>
    <row r="1668" customFormat="1" s="82">
      <c r="O1668" s="89" t="n"/>
    </row>
    <row r="1669" customFormat="1" s="82">
      <c r="O1669" s="89" t="n"/>
    </row>
    <row r="1670" customFormat="1" s="82">
      <c r="O1670" s="89" t="n"/>
    </row>
    <row r="1671" customFormat="1" s="82">
      <c r="O1671" s="89" t="n"/>
    </row>
    <row r="1672" customFormat="1" s="82">
      <c r="O1672" s="89" t="n"/>
    </row>
    <row r="1673" customFormat="1" s="82">
      <c r="O1673" s="89" t="n"/>
    </row>
    <row r="1674" customFormat="1" s="82">
      <c r="O1674" s="89" t="n"/>
    </row>
    <row r="1675" customFormat="1" s="82">
      <c r="O1675" s="89" t="n"/>
    </row>
    <row r="1676" customFormat="1" s="82">
      <c r="O1676" s="89" t="n"/>
    </row>
    <row r="1677" customFormat="1" s="82">
      <c r="O1677" s="89" t="n"/>
    </row>
    <row r="1678" customFormat="1" s="82">
      <c r="O1678" s="89" t="n"/>
    </row>
    <row r="1679" customFormat="1" s="82">
      <c r="O1679" s="89" t="n"/>
    </row>
    <row r="1680" customFormat="1" s="82">
      <c r="O1680" s="89" t="n"/>
    </row>
    <row r="1681" customFormat="1" s="82">
      <c r="O1681" s="89" t="n"/>
    </row>
    <row r="1682" customFormat="1" s="82">
      <c r="O1682" s="89" t="n"/>
    </row>
    <row r="1683" customFormat="1" s="82">
      <c r="O1683" s="89" t="n"/>
    </row>
    <row r="1684" customFormat="1" s="82">
      <c r="O1684" s="89" t="n"/>
    </row>
    <row r="1685" customFormat="1" s="82">
      <c r="O1685" s="89" t="n"/>
    </row>
    <row r="1686" customFormat="1" s="82">
      <c r="O1686" s="89" t="n"/>
    </row>
    <row r="1687" customFormat="1" s="82">
      <c r="O1687" s="89" t="n"/>
    </row>
    <row r="1688" customFormat="1" s="82">
      <c r="O1688" s="89" t="n"/>
    </row>
    <row r="1689" customFormat="1" s="82">
      <c r="O1689" s="89" t="n"/>
    </row>
    <row r="1690" customFormat="1" s="82">
      <c r="O1690" s="89" t="n"/>
    </row>
    <row r="1691" customFormat="1" s="82">
      <c r="O1691" s="89" t="n"/>
    </row>
    <row r="1692" customFormat="1" s="82">
      <c r="O1692" s="89" t="n"/>
    </row>
    <row r="1693" customFormat="1" s="82">
      <c r="O1693" s="89" t="n"/>
    </row>
    <row r="1694" customFormat="1" s="82">
      <c r="O1694" s="89" t="n"/>
    </row>
    <row r="1695" customFormat="1" s="82">
      <c r="O1695" s="89" t="n"/>
    </row>
    <row r="1696" customFormat="1" s="82">
      <c r="O1696" s="89" t="n"/>
    </row>
    <row r="1697" customFormat="1" s="82">
      <c r="O1697" s="89" t="n"/>
    </row>
    <row r="1698" customFormat="1" s="82">
      <c r="O1698" s="89" t="n"/>
    </row>
    <row r="1699" customFormat="1" s="82">
      <c r="O1699" s="89" t="n"/>
    </row>
    <row r="1700" customFormat="1" s="82">
      <c r="O1700" s="89" t="n"/>
    </row>
    <row r="1701" customFormat="1" s="82">
      <c r="O1701" s="89" t="n"/>
    </row>
    <row r="1702" customFormat="1" s="82">
      <c r="O1702" s="89" t="n"/>
    </row>
    <row r="1703" customFormat="1" s="82">
      <c r="O1703" s="89" t="n"/>
    </row>
    <row r="1704" customFormat="1" s="82">
      <c r="O1704" s="89" t="n"/>
    </row>
    <row r="1705" customFormat="1" s="82">
      <c r="O1705" s="89" t="n"/>
    </row>
    <row r="1706" customFormat="1" s="82">
      <c r="O1706" s="89" t="n"/>
    </row>
    <row r="1707" customFormat="1" s="82">
      <c r="O1707" s="89" t="n"/>
    </row>
    <row r="1708" customFormat="1" s="82">
      <c r="O1708" s="89" t="n"/>
    </row>
    <row r="1709" customFormat="1" s="82">
      <c r="O1709" s="89" t="n"/>
    </row>
    <row r="1710" customFormat="1" s="82">
      <c r="O1710" s="89" t="n"/>
    </row>
    <row r="1711" customFormat="1" s="82">
      <c r="O1711" s="89" t="n"/>
    </row>
    <row r="1712" customFormat="1" s="82">
      <c r="O1712" s="89" t="n"/>
    </row>
    <row r="1713" customFormat="1" s="82">
      <c r="O1713" s="89" t="n"/>
    </row>
    <row r="1714" customFormat="1" s="82">
      <c r="O1714" s="89" t="n"/>
    </row>
    <row r="1715" customFormat="1" s="82">
      <c r="O1715" s="89" t="n"/>
    </row>
    <row r="1716" customFormat="1" s="82">
      <c r="O1716" s="89" t="n"/>
    </row>
    <row r="1717" customFormat="1" s="82">
      <c r="O1717" s="89" t="n"/>
    </row>
    <row r="1718" customFormat="1" s="82">
      <c r="O1718" s="89" t="n"/>
    </row>
    <row r="1719" customFormat="1" s="82">
      <c r="O1719" s="89" t="n"/>
    </row>
    <row r="1720" customFormat="1" s="82">
      <c r="O1720" s="89" t="n"/>
    </row>
    <row r="1721" customFormat="1" s="82">
      <c r="O1721" s="89" t="n"/>
    </row>
    <row r="1722" customFormat="1" s="82">
      <c r="O1722" s="89" t="n"/>
    </row>
    <row r="1723" customFormat="1" s="82">
      <c r="O1723" s="89" t="n"/>
    </row>
    <row r="1724" customFormat="1" s="82">
      <c r="O1724" s="89" t="n"/>
    </row>
    <row r="1725" customFormat="1" s="82">
      <c r="O1725" s="89" t="n"/>
    </row>
    <row r="1726" customFormat="1" s="82">
      <c r="O1726" s="89" t="n"/>
    </row>
    <row r="1727" customFormat="1" s="82">
      <c r="O1727" s="89" t="n"/>
    </row>
    <row r="1728" customFormat="1" s="82">
      <c r="O1728" s="89" t="n"/>
    </row>
    <row r="1729" customFormat="1" s="82">
      <c r="O1729" s="89" t="n"/>
    </row>
    <row r="1730" customFormat="1" s="82">
      <c r="O1730" s="89" t="n"/>
    </row>
    <row r="1731" customFormat="1" s="82">
      <c r="O1731" s="89" t="n"/>
    </row>
    <row r="1732" customFormat="1" s="82">
      <c r="O1732" s="89" t="n"/>
    </row>
    <row r="1733" customFormat="1" s="82">
      <c r="O1733" s="89" t="n"/>
    </row>
    <row r="1734" customFormat="1" s="82">
      <c r="O1734" s="89" t="n"/>
    </row>
    <row r="1735" customFormat="1" s="82">
      <c r="O1735" s="89" t="n"/>
    </row>
    <row r="1736" customFormat="1" s="82">
      <c r="O1736" s="89" t="n"/>
    </row>
    <row r="1737" customFormat="1" s="82">
      <c r="O1737" s="89" t="n"/>
    </row>
    <row r="1738" customFormat="1" s="82">
      <c r="O1738" s="89" t="n"/>
    </row>
    <row r="1739" customFormat="1" s="82">
      <c r="O1739" s="89" t="n"/>
    </row>
    <row r="1740" customFormat="1" s="82">
      <c r="O1740" s="89" t="n"/>
    </row>
    <row r="1741" customFormat="1" s="82">
      <c r="O1741" s="89" t="n"/>
    </row>
    <row r="1742" customFormat="1" s="82">
      <c r="O1742" s="89" t="n"/>
    </row>
    <row r="1743" customFormat="1" s="82">
      <c r="O1743" s="89" t="n"/>
    </row>
    <row r="1744" customFormat="1" s="82">
      <c r="O1744" s="89" t="n"/>
    </row>
    <row r="1745" customFormat="1" s="82">
      <c r="O1745" s="89" t="n"/>
    </row>
    <row r="1746" customFormat="1" s="82">
      <c r="O1746" s="89" t="n"/>
    </row>
    <row r="1747" customFormat="1" s="82">
      <c r="O1747" s="89" t="n"/>
    </row>
    <row r="1748" customFormat="1" s="82">
      <c r="O1748" s="89" t="n"/>
    </row>
    <row r="1749" customFormat="1" s="82">
      <c r="O1749" s="89" t="n"/>
    </row>
    <row r="1750" customFormat="1" s="82">
      <c r="O1750" s="89" t="n"/>
    </row>
    <row r="1751" customFormat="1" s="82">
      <c r="O1751" s="89" t="n"/>
    </row>
    <row r="1752" customFormat="1" s="82">
      <c r="O1752" s="89" t="n"/>
    </row>
    <row r="1753" customFormat="1" s="82">
      <c r="O1753" s="89" t="n"/>
    </row>
    <row r="1754" customFormat="1" s="82">
      <c r="O1754" s="89" t="n"/>
    </row>
    <row r="1755" customFormat="1" s="82">
      <c r="O1755" s="89" t="n"/>
    </row>
    <row r="1756" customFormat="1" s="82">
      <c r="O1756" s="89" t="n"/>
    </row>
    <row r="1757" customFormat="1" s="82">
      <c r="O1757" s="89" t="n"/>
    </row>
    <row r="1758" customFormat="1" s="82">
      <c r="O1758" s="89" t="n"/>
    </row>
    <row r="1759" customFormat="1" s="82">
      <c r="O1759" s="89" t="n"/>
    </row>
    <row r="1760" customFormat="1" s="82">
      <c r="O1760" s="89" t="n"/>
    </row>
    <row r="1761" customFormat="1" s="82">
      <c r="O1761" s="89" t="n"/>
    </row>
    <row r="1762" customFormat="1" s="82">
      <c r="O1762" s="89" t="n"/>
    </row>
    <row r="1763" customFormat="1" s="82">
      <c r="O1763" s="89" t="n"/>
    </row>
    <row r="1764" customFormat="1" s="82">
      <c r="O1764" s="89" t="n"/>
    </row>
    <row r="1765" customFormat="1" s="82">
      <c r="O1765" s="89" t="n"/>
    </row>
    <row r="1766" customFormat="1" s="82">
      <c r="O1766" s="89" t="n"/>
    </row>
    <row r="1767" customFormat="1" s="82">
      <c r="O1767" s="89" t="n"/>
    </row>
    <row r="1768" customFormat="1" s="82">
      <c r="O1768" s="89" t="n"/>
    </row>
    <row r="1769" customFormat="1" s="82">
      <c r="O1769" s="89" t="n"/>
    </row>
    <row r="1770" customFormat="1" s="82">
      <c r="O1770" s="89" t="n"/>
    </row>
    <row r="1771" customFormat="1" s="82">
      <c r="O1771" s="89" t="n"/>
    </row>
    <row r="1772" customFormat="1" s="82">
      <c r="O1772" s="89" t="n"/>
    </row>
    <row r="1773" customFormat="1" s="82">
      <c r="O1773" s="89" t="n"/>
    </row>
    <row r="1774" customFormat="1" s="82">
      <c r="O1774" s="89" t="n"/>
    </row>
    <row r="1775" customFormat="1" s="82">
      <c r="O1775" s="89" t="n"/>
    </row>
    <row r="1776" customFormat="1" s="82">
      <c r="O1776" s="89" t="n"/>
    </row>
    <row r="1777" customFormat="1" s="82">
      <c r="O1777" s="89" t="n"/>
    </row>
    <row r="1778" customFormat="1" s="82">
      <c r="O1778" s="89" t="n"/>
    </row>
    <row r="1779" customFormat="1" s="82">
      <c r="O1779" s="89" t="n"/>
    </row>
    <row r="1780" customFormat="1" s="82">
      <c r="O1780" s="89" t="n"/>
    </row>
    <row r="1781" customFormat="1" s="82">
      <c r="O1781" s="89" t="n"/>
    </row>
    <row r="1782" customFormat="1" s="82">
      <c r="O1782" s="89" t="n"/>
    </row>
    <row r="1783" customFormat="1" s="82">
      <c r="O1783" s="89" t="n"/>
    </row>
    <row r="1784" customFormat="1" s="82">
      <c r="O1784" s="89" t="n"/>
    </row>
    <row r="1785" customFormat="1" s="82">
      <c r="O1785" s="89" t="n"/>
    </row>
    <row r="1786" customFormat="1" s="82">
      <c r="O1786" s="89" t="n"/>
    </row>
    <row r="1787" customFormat="1" s="82">
      <c r="O1787" s="89" t="n"/>
    </row>
    <row r="1788" customFormat="1" s="82">
      <c r="O1788" s="89" t="n"/>
    </row>
    <row r="1789" customFormat="1" s="82">
      <c r="O1789" s="89" t="n"/>
    </row>
    <row r="1790" customFormat="1" s="82">
      <c r="O1790" s="89" t="n"/>
    </row>
    <row r="1791" customFormat="1" s="82">
      <c r="O1791" s="89" t="n"/>
    </row>
    <row r="1792" customFormat="1" s="82">
      <c r="O1792" s="89" t="n"/>
    </row>
    <row r="1793" customFormat="1" s="82">
      <c r="O1793" s="89" t="n"/>
    </row>
    <row r="1794" customFormat="1" s="82">
      <c r="O1794" s="89" t="n"/>
    </row>
    <row r="1795" customFormat="1" s="82">
      <c r="O1795" s="89" t="n"/>
    </row>
    <row r="1796" customFormat="1" s="82">
      <c r="O1796" s="89" t="n"/>
    </row>
    <row r="1797" customFormat="1" s="82">
      <c r="O1797" s="89" t="n"/>
    </row>
    <row r="1798" customFormat="1" s="82">
      <c r="O1798" s="89" t="n"/>
    </row>
    <row r="1799" customFormat="1" s="82">
      <c r="O1799" s="89" t="n"/>
    </row>
    <row r="1800" customFormat="1" s="82">
      <c r="O1800" s="89" t="n"/>
    </row>
    <row r="1801" customFormat="1" s="82">
      <c r="O1801" s="89" t="n"/>
    </row>
    <row r="1802" customFormat="1" s="82">
      <c r="O1802" s="89" t="n"/>
    </row>
    <row r="1803" customFormat="1" s="82">
      <c r="O1803" s="89" t="n"/>
    </row>
    <row r="1804" customFormat="1" s="82">
      <c r="O1804" s="89" t="n"/>
    </row>
    <row r="1805" customFormat="1" s="82">
      <c r="O1805" s="89" t="n"/>
    </row>
    <row r="1806" customFormat="1" s="82">
      <c r="O1806" s="89" t="n"/>
    </row>
    <row r="1807" customFormat="1" s="82">
      <c r="O1807" s="89" t="n"/>
    </row>
    <row r="1808" customFormat="1" s="82">
      <c r="O1808" s="89" t="n"/>
    </row>
    <row r="1809" customFormat="1" s="82">
      <c r="O1809" s="89" t="n"/>
    </row>
    <row r="1810" customFormat="1" s="82">
      <c r="O1810" s="89" t="n"/>
    </row>
    <row r="1811" customFormat="1" s="82">
      <c r="O1811" s="89" t="n"/>
    </row>
    <row r="1812" customFormat="1" s="82">
      <c r="O1812" s="89" t="n"/>
    </row>
    <row r="1813" customFormat="1" s="82">
      <c r="O1813" s="89" t="n"/>
    </row>
    <row r="1814" customFormat="1" s="82">
      <c r="O1814" s="89" t="n"/>
    </row>
    <row r="1815" customFormat="1" s="82">
      <c r="O1815" s="89" t="n"/>
    </row>
    <row r="1816" customFormat="1" s="82">
      <c r="O1816" s="89" t="n"/>
    </row>
    <row r="1817" customFormat="1" s="82">
      <c r="O1817" s="89" t="n"/>
    </row>
    <row r="1818" customFormat="1" s="82">
      <c r="O1818" s="89" t="n"/>
    </row>
    <row r="1819" customFormat="1" s="82">
      <c r="O1819" s="89" t="n"/>
    </row>
    <row r="1820" customFormat="1" s="82">
      <c r="O1820" s="89" t="n"/>
    </row>
    <row r="1821" customFormat="1" s="82">
      <c r="O1821" s="89" t="n"/>
    </row>
    <row r="1822" customFormat="1" s="82">
      <c r="O1822" s="89" t="n"/>
    </row>
    <row r="1823" customFormat="1" s="82">
      <c r="O1823" s="89" t="n"/>
    </row>
    <row r="1824" customFormat="1" s="82">
      <c r="O1824" s="89" t="n"/>
    </row>
    <row r="1825" customFormat="1" s="82">
      <c r="O1825" s="89" t="n"/>
    </row>
    <row r="1826" customFormat="1" s="82">
      <c r="O1826" s="89" t="n"/>
    </row>
    <row r="1827" customFormat="1" s="82">
      <c r="O1827" s="89" t="n"/>
    </row>
    <row r="1828" customFormat="1" s="82">
      <c r="O1828" s="89" t="n"/>
    </row>
    <row r="1829" customFormat="1" s="82">
      <c r="O1829" s="89" t="n"/>
    </row>
    <row r="1830" customFormat="1" s="82">
      <c r="O1830" s="89" t="n"/>
    </row>
    <row r="1831" customFormat="1" s="82">
      <c r="O1831" s="89" t="n"/>
    </row>
    <row r="1832" customFormat="1" s="82">
      <c r="O1832" s="89" t="n"/>
    </row>
    <row r="1833" customFormat="1" s="82">
      <c r="O1833" s="89" t="n"/>
    </row>
    <row r="1834" customFormat="1" s="82">
      <c r="O1834" s="89" t="n"/>
    </row>
    <row r="1835" customFormat="1" s="82">
      <c r="O1835" s="89" t="n"/>
    </row>
    <row r="1836" customFormat="1" s="82">
      <c r="O1836" s="89" t="n"/>
    </row>
    <row r="1837" customFormat="1" s="82">
      <c r="O1837" s="89" t="n"/>
    </row>
    <row r="1838" customFormat="1" s="82">
      <c r="O1838" s="89" t="n"/>
    </row>
    <row r="1839" customFormat="1" s="82">
      <c r="O1839" s="89" t="n"/>
    </row>
    <row r="1840" customFormat="1" s="82">
      <c r="O1840" s="89" t="n"/>
    </row>
    <row r="1841" customFormat="1" s="82">
      <c r="O1841" s="89" t="n"/>
    </row>
    <row r="1842" customFormat="1" s="82">
      <c r="O1842" s="89" t="n"/>
    </row>
    <row r="1843" customFormat="1" s="82">
      <c r="O1843" s="89" t="n"/>
    </row>
    <row r="1844" customFormat="1" s="82">
      <c r="O1844" s="89" t="n"/>
    </row>
    <row r="1845" customFormat="1" s="82">
      <c r="O1845" s="89" t="n"/>
    </row>
    <row r="1846" customFormat="1" s="82">
      <c r="O1846" s="89" t="n"/>
    </row>
    <row r="1847" customFormat="1" s="82">
      <c r="O1847" s="89" t="n"/>
    </row>
    <row r="1848" customFormat="1" s="82">
      <c r="O1848" s="89" t="n"/>
    </row>
    <row r="1849" customFormat="1" s="82">
      <c r="O1849" s="89" t="n"/>
    </row>
    <row r="1850" customFormat="1" s="82">
      <c r="O1850" s="89" t="n"/>
    </row>
    <row r="1851" customFormat="1" s="82">
      <c r="O1851" s="89" t="n"/>
    </row>
    <row r="1852" customFormat="1" s="82">
      <c r="O1852" s="89" t="n"/>
    </row>
    <row r="1853" customFormat="1" s="82">
      <c r="O1853" s="89" t="n"/>
    </row>
    <row r="1854" customFormat="1" s="82">
      <c r="O1854" s="89" t="n"/>
    </row>
    <row r="1855" customFormat="1" s="82">
      <c r="O1855" s="89" t="n"/>
    </row>
    <row r="1856" customFormat="1" s="82">
      <c r="O1856" s="89" t="n"/>
    </row>
    <row r="1857" customFormat="1" s="82">
      <c r="O1857" s="89" t="n"/>
    </row>
    <row r="1858" customFormat="1" s="82">
      <c r="O1858" s="89" t="n"/>
    </row>
    <row r="1859" customFormat="1" s="82">
      <c r="O1859" s="89" t="n"/>
    </row>
    <row r="1860" customFormat="1" s="82">
      <c r="O1860" s="89" t="n"/>
    </row>
    <row r="1861" customFormat="1" s="82">
      <c r="O1861" s="89" t="n"/>
    </row>
    <row r="1862" customFormat="1" s="82">
      <c r="O1862" s="89" t="n"/>
    </row>
    <row r="1863" customFormat="1" s="82">
      <c r="O1863" s="89" t="n"/>
    </row>
    <row r="1864" customFormat="1" s="82">
      <c r="O1864" s="89" t="n"/>
    </row>
    <row r="1865" customFormat="1" s="82">
      <c r="O1865" s="89" t="n"/>
    </row>
    <row r="1866" customFormat="1" s="82">
      <c r="O1866" s="89" t="n"/>
    </row>
    <row r="1867" customFormat="1" s="82">
      <c r="O1867" s="89" t="n"/>
    </row>
    <row r="1868" customFormat="1" s="82">
      <c r="O1868" s="89" t="n"/>
    </row>
    <row r="1869" customFormat="1" s="82">
      <c r="O1869" s="89" t="n"/>
    </row>
    <row r="1870" customFormat="1" s="82">
      <c r="O1870" s="89" t="n"/>
    </row>
    <row r="1871" customFormat="1" s="82">
      <c r="O1871" s="89" t="n"/>
    </row>
    <row r="1872" customFormat="1" s="82">
      <c r="O1872" s="89" t="n"/>
    </row>
    <row r="1873" customFormat="1" s="82">
      <c r="O1873" s="89" t="n"/>
    </row>
    <row r="1874" customFormat="1" s="82">
      <c r="O1874" s="89" t="n"/>
    </row>
    <row r="1875" customFormat="1" s="82">
      <c r="O1875" s="89" t="n"/>
    </row>
    <row r="1876" customFormat="1" s="82">
      <c r="O1876" s="89" t="n"/>
    </row>
    <row r="1877" customFormat="1" s="82">
      <c r="O1877" s="89" t="n"/>
    </row>
    <row r="1878" customFormat="1" s="82">
      <c r="O1878" s="89" t="n"/>
    </row>
    <row r="1879" customFormat="1" s="82">
      <c r="O1879" s="89" t="n"/>
    </row>
    <row r="1880" customFormat="1" s="82">
      <c r="O1880" s="89" t="n"/>
    </row>
    <row r="1881" customFormat="1" s="82">
      <c r="O1881" s="89" t="n"/>
    </row>
    <row r="1882" customFormat="1" s="82">
      <c r="O1882" s="89" t="n"/>
    </row>
    <row r="1883" customFormat="1" s="82">
      <c r="O1883" s="89" t="n"/>
    </row>
    <row r="1884" customFormat="1" s="82">
      <c r="O1884" s="89" t="n"/>
    </row>
    <row r="1885" customFormat="1" s="82">
      <c r="O1885" s="89" t="n"/>
    </row>
    <row r="1886" customFormat="1" s="82">
      <c r="O1886" s="89" t="n"/>
    </row>
    <row r="1887" customFormat="1" s="82">
      <c r="O1887" s="89" t="n"/>
    </row>
    <row r="1888" customFormat="1" s="82">
      <c r="O1888" s="89" t="n"/>
    </row>
    <row r="1889" customFormat="1" s="82">
      <c r="O1889" s="89" t="n"/>
    </row>
    <row r="1890" customFormat="1" s="82">
      <c r="O1890" s="89" t="n"/>
    </row>
    <row r="1891" customFormat="1" s="82">
      <c r="O1891" s="89" t="n"/>
    </row>
    <row r="1892" customFormat="1" s="82">
      <c r="O1892" s="89" t="n"/>
    </row>
    <row r="1893" customFormat="1" s="82">
      <c r="O1893" s="89" t="n"/>
    </row>
    <row r="1894" customFormat="1" s="82">
      <c r="O1894" s="89" t="n"/>
    </row>
    <row r="1895" customFormat="1" s="82">
      <c r="O1895" s="89" t="n"/>
    </row>
    <row r="1896" customFormat="1" s="82">
      <c r="O1896" s="89" t="n"/>
    </row>
    <row r="1897" customFormat="1" s="82">
      <c r="O1897" s="89" t="n"/>
    </row>
    <row r="1898" customFormat="1" s="82">
      <c r="O1898" s="89" t="n"/>
    </row>
    <row r="1899" customFormat="1" s="82">
      <c r="O1899" s="89" t="n"/>
    </row>
    <row r="1900" customFormat="1" s="82">
      <c r="O1900" s="89" t="n"/>
    </row>
    <row r="1901" customFormat="1" s="82">
      <c r="O1901" s="89" t="n"/>
    </row>
    <row r="1902" customFormat="1" s="82">
      <c r="O1902" s="89" t="n"/>
    </row>
    <row r="1903" customFormat="1" s="82">
      <c r="O1903" s="89" t="n"/>
    </row>
    <row r="1904" customFormat="1" s="82">
      <c r="O1904" s="89" t="n"/>
    </row>
    <row r="1905" customFormat="1" s="82">
      <c r="O1905" s="89" t="n"/>
    </row>
    <row r="1906" customFormat="1" s="82">
      <c r="O1906" s="89" t="n"/>
    </row>
    <row r="1907" customFormat="1" s="82">
      <c r="O1907" s="89" t="n"/>
    </row>
    <row r="1908" customFormat="1" s="82">
      <c r="O1908" s="89" t="n"/>
    </row>
    <row r="1909" customFormat="1" s="82">
      <c r="O1909" s="89" t="n"/>
    </row>
    <row r="1910" customFormat="1" s="82">
      <c r="O1910" s="89" t="n"/>
    </row>
    <row r="1911" customFormat="1" s="82">
      <c r="O1911" s="89" t="n"/>
    </row>
    <row r="1912" customFormat="1" s="82">
      <c r="O1912" s="89" t="n"/>
    </row>
    <row r="1913" customFormat="1" s="82">
      <c r="O1913" s="89" t="n"/>
    </row>
    <row r="1914" customFormat="1" s="82">
      <c r="O1914" s="89" t="n"/>
    </row>
    <row r="1915" customFormat="1" s="82">
      <c r="O1915" s="89" t="n"/>
    </row>
    <row r="1916" customFormat="1" s="82">
      <c r="O1916" s="89" t="n"/>
    </row>
    <row r="1917" customFormat="1" s="82">
      <c r="O1917" s="89" t="n"/>
    </row>
    <row r="1918" customFormat="1" s="82">
      <c r="O1918" s="89" t="n"/>
    </row>
    <row r="1919" customFormat="1" s="82">
      <c r="O1919" s="89" t="n"/>
    </row>
    <row r="1920" customFormat="1" s="82">
      <c r="O1920" s="89" t="n"/>
    </row>
    <row r="1921" customFormat="1" s="82">
      <c r="O1921" s="89" t="n"/>
    </row>
    <row r="1922" customFormat="1" s="82">
      <c r="O1922" s="89" t="n"/>
    </row>
    <row r="1923" customFormat="1" s="82">
      <c r="O1923" s="89" t="n"/>
    </row>
    <row r="1924" customFormat="1" s="82">
      <c r="O1924" s="89" t="n"/>
    </row>
    <row r="1925" customFormat="1" s="82">
      <c r="O1925" s="89" t="n"/>
    </row>
    <row r="1926" customFormat="1" s="82">
      <c r="O1926" s="89" t="n"/>
    </row>
    <row r="1927" customFormat="1" s="82">
      <c r="O1927" s="89" t="n"/>
    </row>
    <row r="1928" customFormat="1" s="82">
      <c r="O1928" s="89" t="n"/>
    </row>
    <row r="1929" customFormat="1" s="82">
      <c r="O1929" s="89" t="n"/>
    </row>
    <row r="1930" customFormat="1" s="82">
      <c r="O1930" s="89" t="n"/>
    </row>
    <row r="1931" customFormat="1" s="82">
      <c r="O1931" s="89" t="n"/>
    </row>
    <row r="1932" customFormat="1" s="82">
      <c r="O1932" s="89" t="n"/>
    </row>
    <row r="1933" customFormat="1" s="82">
      <c r="O1933" s="89" t="n"/>
    </row>
    <row r="1934" customFormat="1" s="82">
      <c r="O1934" s="89" t="n"/>
    </row>
    <row r="1935" customFormat="1" s="82">
      <c r="O1935" s="89" t="n"/>
    </row>
    <row r="1936" customFormat="1" s="82">
      <c r="O1936" s="89" t="n"/>
    </row>
    <row r="1937" customFormat="1" s="82">
      <c r="O1937" s="89" t="n"/>
    </row>
    <row r="1938" customFormat="1" s="82">
      <c r="O1938" s="89" t="n"/>
    </row>
    <row r="1939" customFormat="1" s="82">
      <c r="O1939" s="89" t="n"/>
    </row>
    <row r="1940" customFormat="1" s="82">
      <c r="O1940" s="89" t="n"/>
    </row>
    <row r="1941" customFormat="1" s="82">
      <c r="O1941" s="89" t="n"/>
    </row>
    <row r="1942" customFormat="1" s="82">
      <c r="O1942" s="89" t="n"/>
    </row>
    <row r="1943" customFormat="1" s="82">
      <c r="O1943" s="89" t="n"/>
    </row>
    <row r="1944" customFormat="1" s="82">
      <c r="O1944" s="89" t="n"/>
    </row>
    <row r="1945" customFormat="1" s="82">
      <c r="O1945" s="89" t="n"/>
    </row>
    <row r="1946" customFormat="1" s="82">
      <c r="O1946" s="89" t="n"/>
    </row>
    <row r="1947" customFormat="1" s="82">
      <c r="O1947" s="89" t="n"/>
    </row>
    <row r="1948" customFormat="1" s="82">
      <c r="O1948" s="89" t="n"/>
    </row>
    <row r="1949" customFormat="1" s="82">
      <c r="O1949" s="89" t="n"/>
    </row>
    <row r="1950" customFormat="1" s="82">
      <c r="O1950" s="89" t="n"/>
    </row>
    <row r="1951" customFormat="1" s="82">
      <c r="O1951" s="89" t="n"/>
    </row>
    <row r="1952" customFormat="1" s="82">
      <c r="O1952" s="89" t="n"/>
    </row>
    <row r="1953" customFormat="1" s="82">
      <c r="O1953" s="89" t="n"/>
    </row>
    <row r="1954" customFormat="1" s="82">
      <c r="O1954" s="89" t="n"/>
    </row>
    <row r="1955" customFormat="1" s="82">
      <c r="O1955" s="89" t="n"/>
    </row>
    <row r="1956" customFormat="1" s="82">
      <c r="O1956" s="89" t="n"/>
    </row>
    <row r="1957" customFormat="1" s="82">
      <c r="O1957" s="89" t="n"/>
    </row>
    <row r="1958" customFormat="1" s="82">
      <c r="O1958" s="89" t="n"/>
    </row>
    <row r="1959" customFormat="1" s="82">
      <c r="O1959" s="89" t="n"/>
    </row>
    <row r="1960" customFormat="1" s="82">
      <c r="O1960" s="89" t="n"/>
    </row>
    <row r="1961" customFormat="1" s="82">
      <c r="O1961" s="89" t="n"/>
    </row>
    <row r="1962" customFormat="1" s="82">
      <c r="O1962" s="89" t="n"/>
    </row>
    <row r="1963" customFormat="1" s="82">
      <c r="O1963" s="89" t="n"/>
    </row>
    <row r="1964" customFormat="1" s="82">
      <c r="O1964" s="89" t="n"/>
    </row>
    <row r="1965" customFormat="1" s="82">
      <c r="O1965" s="89" t="n"/>
    </row>
    <row r="1966" customFormat="1" s="82">
      <c r="O1966" s="89" t="n"/>
    </row>
    <row r="1967" customFormat="1" s="82">
      <c r="O1967" s="89" t="n"/>
    </row>
    <row r="1968" customFormat="1" s="82">
      <c r="O1968" s="89" t="n"/>
    </row>
    <row r="1969" customFormat="1" s="82">
      <c r="O1969" s="89" t="n"/>
    </row>
    <row r="1970" customFormat="1" s="82">
      <c r="O1970" s="89" t="n"/>
    </row>
    <row r="1971" customFormat="1" s="82">
      <c r="O1971" s="89" t="n"/>
    </row>
    <row r="1972" customFormat="1" s="82">
      <c r="O1972" s="89" t="n"/>
    </row>
    <row r="1973" customFormat="1" s="82">
      <c r="O1973" s="89" t="n"/>
    </row>
    <row r="1974" customFormat="1" s="82">
      <c r="O1974" s="89" t="n"/>
    </row>
    <row r="1975" customFormat="1" s="82">
      <c r="O1975" s="89" t="n"/>
    </row>
    <row r="1976" customFormat="1" s="82">
      <c r="O1976" s="89" t="n"/>
    </row>
    <row r="1977" customFormat="1" s="82">
      <c r="O1977" s="89" t="n"/>
    </row>
    <row r="1978" customFormat="1" s="82">
      <c r="O1978" s="89" t="n"/>
    </row>
    <row r="1979" customFormat="1" s="82">
      <c r="O1979" s="89" t="n"/>
    </row>
    <row r="1980" customFormat="1" s="82">
      <c r="O1980" s="89" t="n"/>
    </row>
    <row r="1981" customFormat="1" s="82">
      <c r="O1981" s="89" t="n"/>
    </row>
    <row r="1982" customFormat="1" s="82">
      <c r="O1982" s="89" t="n"/>
    </row>
    <row r="1983" customFormat="1" s="82">
      <c r="O1983" s="89" t="n"/>
    </row>
    <row r="1984" customFormat="1" s="82">
      <c r="O1984" s="89" t="n"/>
    </row>
    <row r="1985" customFormat="1" s="82">
      <c r="O1985" s="89" t="n"/>
    </row>
    <row r="1986" customFormat="1" s="82">
      <c r="O1986" s="89" t="n"/>
    </row>
    <row r="1987" customFormat="1" s="82">
      <c r="O1987" s="89" t="n"/>
    </row>
    <row r="1988" customFormat="1" s="82">
      <c r="O1988" s="89" t="n"/>
    </row>
    <row r="1989" customFormat="1" s="82">
      <c r="O1989" s="89" t="n"/>
    </row>
    <row r="1990" customFormat="1" s="82">
      <c r="O1990" s="89" t="n"/>
    </row>
    <row r="1991" customFormat="1" s="82">
      <c r="O1991" s="89" t="n"/>
    </row>
    <row r="1992" customFormat="1" s="82">
      <c r="O1992" s="89" t="n"/>
    </row>
    <row r="1993" customFormat="1" s="82">
      <c r="O1993" s="89" t="n"/>
    </row>
    <row r="1994" customFormat="1" s="82">
      <c r="O1994" s="89" t="n"/>
    </row>
    <row r="1995" customFormat="1" s="82">
      <c r="O1995" s="89" t="n"/>
    </row>
    <row r="1996" customFormat="1" s="82">
      <c r="O1996" s="89" t="n"/>
    </row>
    <row r="1997" customFormat="1" s="82">
      <c r="O1997" s="89" t="n"/>
    </row>
    <row r="1998" customFormat="1" s="82">
      <c r="O1998" s="89" t="n"/>
    </row>
    <row r="1999" customFormat="1" s="82">
      <c r="O1999" s="89" t="n"/>
    </row>
    <row r="2000" customFormat="1" s="82">
      <c r="O2000" s="89" t="n"/>
    </row>
    <row r="2001" customFormat="1" s="82">
      <c r="O2001" s="89" t="n"/>
    </row>
    <row r="2002" customFormat="1" s="82">
      <c r="O2002" s="89" t="n"/>
    </row>
    <row r="2003" customFormat="1" s="82">
      <c r="O2003" s="89" t="n"/>
    </row>
    <row r="2004" customFormat="1" s="82">
      <c r="O2004" s="89" t="n"/>
    </row>
    <row r="2005" customFormat="1" s="82">
      <c r="O2005" s="89" t="n"/>
    </row>
    <row r="2006" customFormat="1" s="82">
      <c r="O2006" s="89" t="n"/>
    </row>
    <row r="2007" customFormat="1" s="82">
      <c r="O2007" s="89" t="n"/>
    </row>
    <row r="2008" customFormat="1" s="82">
      <c r="O2008" s="89" t="n"/>
    </row>
    <row r="2009" customFormat="1" s="82">
      <c r="O2009" s="89" t="n"/>
    </row>
    <row r="2010" customFormat="1" s="82">
      <c r="O2010" s="89" t="n"/>
    </row>
    <row r="2011" customFormat="1" s="82">
      <c r="O2011" s="89" t="n"/>
    </row>
    <row r="2012" customFormat="1" s="82">
      <c r="O2012" s="89" t="n"/>
    </row>
    <row r="2013" customFormat="1" s="82">
      <c r="O2013" s="89" t="n"/>
    </row>
    <row r="2014" customFormat="1" s="82">
      <c r="O2014" s="89" t="n"/>
    </row>
    <row r="2015" customFormat="1" s="82">
      <c r="O2015" s="89" t="n"/>
    </row>
    <row r="2016" customFormat="1" s="82">
      <c r="O2016" s="89" t="n"/>
    </row>
    <row r="2017" customFormat="1" s="82">
      <c r="O2017" s="89" t="n"/>
    </row>
    <row r="2018" customFormat="1" s="82">
      <c r="O2018" s="89" t="n"/>
    </row>
    <row r="2019" customFormat="1" s="82">
      <c r="O2019" s="89" t="n"/>
    </row>
    <row r="2020" customFormat="1" s="82">
      <c r="O2020" s="89" t="n"/>
    </row>
    <row r="2021" customFormat="1" s="82">
      <c r="O2021" s="89" t="n"/>
    </row>
    <row r="2022" customFormat="1" s="82">
      <c r="O2022" s="89" t="n"/>
    </row>
    <row r="2023" customFormat="1" s="82">
      <c r="O2023" s="89" t="n"/>
    </row>
    <row r="2024" customFormat="1" s="82">
      <c r="O2024" s="89" t="n"/>
    </row>
    <row r="2025" customFormat="1" s="82">
      <c r="O2025" s="89" t="n"/>
    </row>
    <row r="2026" customFormat="1" s="82">
      <c r="O2026" s="89" t="n"/>
    </row>
    <row r="2027" customFormat="1" s="82">
      <c r="O2027" s="89" t="n"/>
    </row>
    <row r="2028" customFormat="1" s="82">
      <c r="O2028" s="89" t="n"/>
    </row>
    <row r="2029" customFormat="1" s="82">
      <c r="O2029" s="89" t="n"/>
    </row>
    <row r="2030" customFormat="1" s="82">
      <c r="O2030" s="89" t="n"/>
    </row>
    <row r="2031" customFormat="1" s="82">
      <c r="O2031" s="89" t="n"/>
    </row>
    <row r="2032" customFormat="1" s="82">
      <c r="O2032" s="89" t="n"/>
    </row>
    <row r="2033" customFormat="1" s="82">
      <c r="O2033" s="89" t="n"/>
    </row>
    <row r="2034" customFormat="1" s="82">
      <c r="O2034" s="89" t="n"/>
    </row>
    <row r="2035" customFormat="1" s="82">
      <c r="O2035" s="89" t="n"/>
    </row>
    <row r="2036" customFormat="1" s="82">
      <c r="O2036" s="89" t="n"/>
    </row>
    <row r="2037" customFormat="1" s="82">
      <c r="O2037" s="89" t="n"/>
    </row>
    <row r="2038" customFormat="1" s="82">
      <c r="O2038" s="89" t="n"/>
    </row>
    <row r="2039" customFormat="1" s="82">
      <c r="O2039" s="89" t="n"/>
    </row>
    <row r="2040" customFormat="1" s="82">
      <c r="O2040" s="89" t="n"/>
    </row>
    <row r="2041" customFormat="1" s="82">
      <c r="O2041" s="89" t="n"/>
    </row>
    <row r="2042" customFormat="1" s="82">
      <c r="O2042" s="89" t="n"/>
    </row>
    <row r="2043" customFormat="1" s="82">
      <c r="O2043" s="89" t="n"/>
    </row>
    <row r="2044" customFormat="1" s="82">
      <c r="O2044" s="89" t="n"/>
    </row>
    <row r="2045" customFormat="1" s="82">
      <c r="O2045" s="89" t="n"/>
    </row>
    <row r="2046" customFormat="1" s="82">
      <c r="O2046" s="89" t="n"/>
    </row>
    <row r="2047" customFormat="1" s="82">
      <c r="O2047" s="89" t="n"/>
    </row>
    <row r="2048" customFormat="1" s="82">
      <c r="O2048" s="89" t="n"/>
    </row>
    <row r="2049" customFormat="1" s="82">
      <c r="O2049" s="89" t="n"/>
    </row>
    <row r="2050" customFormat="1" s="82">
      <c r="O2050" s="89" t="n"/>
    </row>
    <row r="2051" customFormat="1" s="82">
      <c r="O2051" s="89" t="n"/>
    </row>
    <row r="2052" customFormat="1" s="82">
      <c r="O2052" s="89" t="n"/>
    </row>
    <row r="2053" customFormat="1" s="82">
      <c r="O2053" s="89" t="n"/>
    </row>
    <row r="2054" customFormat="1" s="82">
      <c r="O2054" s="89" t="n"/>
    </row>
    <row r="2055" customFormat="1" s="82">
      <c r="O2055" s="89" t="n"/>
    </row>
    <row r="2056" customFormat="1" s="82">
      <c r="O2056" s="89" t="n"/>
    </row>
    <row r="2057" customFormat="1" s="82">
      <c r="O2057" s="89" t="n"/>
    </row>
    <row r="2058" customFormat="1" s="82">
      <c r="O2058" s="89" t="n"/>
    </row>
    <row r="2059" customFormat="1" s="82">
      <c r="O2059" s="89" t="n"/>
    </row>
    <row r="2060" customFormat="1" s="82">
      <c r="O2060" s="89" t="n"/>
    </row>
    <row r="2061" customFormat="1" s="82">
      <c r="O2061" s="89" t="n"/>
    </row>
    <row r="2062" customFormat="1" s="82">
      <c r="O2062" s="89" t="n"/>
    </row>
    <row r="2063" customFormat="1" s="82">
      <c r="O2063" s="89" t="n"/>
    </row>
    <row r="2064" customFormat="1" s="82">
      <c r="O2064" s="89" t="n"/>
    </row>
    <row r="2065" customFormat="1" s="82">
      <c r="O2065" s="89" t="n"/>
    </row>
    <row r="2066" customFormat="1" s="82">
      <c r="O2066" s="89" t="n"/>
    </row>
    <row r="2067" customFormat="1" s="82">
      <c r="O2067" s="89" t="n"/>
    </row>
    <row r="2068" customFormat="1" s="82">
      <c r="O2068" s="89" t="n"/>
    </row>
    <row r="2069" customFormat="1" s="82">
      <c r="O2069" s="89" t="n"/>
    </row>
    <row r="2070" customFormat="1" s="82">
      <c r="O2070" s="89" t="n"/>
    </row>
    <row r="2071" customFormat="1" s="82">
      <c r="O2071" s="89" t="n"/>
    </row>
    <row r="2072" customFormat="1" s="82">
      <c r="O2072" s="89" t="n"/>
    </row>
    <row r="2073" customFormat="1" s="82">
      <c r="O2073" s="89" t="n"/>
    </row>
    <row r="2074" customFormat="1" s="82">
      <c r="O2074" s="89" t="n"/>
    </row>
    <row r="2075" customFormat="1" s="82">
      <c r="O2075" s="89" t="n"/>
    </row>
    <row r="2076" customFormat="1" s="82">
      <c r="O2076" s="89" t="n"/>
    </row>
    <row r="2077" customFormat="1" s="82">
      <c r="O2077" s="89" t="n"/>
    </row>
    <row r="2078" customFormat="1" s="82">
      <c r="O2078" s="89" t="n"/>
    </row>
    <row r="2079" customFormat="1" s="82">
      <c r="O2079" s="89" t="n"/>
    </row>
    <row r="2080" customFormat="1" s="82">
      <c r="O2080" s="89" t="n"/>
    </row>
    <row r="2081" customFormat="1" s="82">
      <c r="O2081" s="89" t="n"/>
    </row>
    <row r="2082" customFormat="1" s="82">
      <c r="O2082" s="89" t="n"/>
    </row>
    <row r="2083" customFormat="1" s="82">
      <c r="O2083" s="89" t="n"/>
    </row>
    <row r="2084" customFormat="1" s="82">
      <c r="O2084" s="89" t="n"/>
    </row>
    <row r="2085" customFormat="1" s="82">
      <c r="O2085" s="89" t="n"/>
    </row>
    <row r="2086" customFormat="1" s="82">
      <c r="O2086" s="89" t="n"/>
    </row>
    <row r="2087" customFormat="1" s="82">
      <c r="O2087" s="89" t="n"/>
    </row>
    <row r="2088" customFormat="1" s="82">
      <c r="O2088" s="89" t="n"/>
    </row>
    <row r="2089" customFormat="1" s="82">
      <c r="O2089" s="89" t="n"/>
    </row>
    <row r="2090" customFormat="1" s="82">
      <c r="O2090" s="89" t="n"/>
    </row>
    <row r="2091" customFormat="1" s="82">
      <c r="O2091" s="89" t="n"/>
    </row>
    <row r="2092" customFormat="1" s="82">
      <c r="O2092" s="89" t="n"/>
    </row>
    <row r="2093" customFormat="1" s="82">
      <c r="O2093" s="89" t="n"/>
    </row>
    <row r="2094" customFormat="1" s="82">
      <c r="O2094" s="89" t="n"/>
    </row>
    <row r="2095" customFormat="1" s="82">
      <c r="O2095" s="89" t="n"/>
    </row>
    <row r="2096" customFormat="1" s="82">
      <c r="O2096" s="89" t="n"/>
    </row>
    <row r="2097" customFormat="1" s="82">
      <c r="O2097" s="89" t="n"/>
    </row>
    <row r="2098" customFormat="1" s="82">
      <c r="O2098" s="89" t="n"/>
    </row>
    <row r="2099" customFormat="1" s="82">
      <c r="O2099" s="89" t="n"/>
    </row>
    <row r="2100" customFormat="1" s="82">
      <c r="O2100" s="89" t="n"/>
    </row>
    <row r="2101" customFormat="1" s="82">
      <c r="O2101" s="89" t="n"/>
    </row>
    <row r="2102" customFormat="1" s="82">
      <c r="O2102" s="89" t="n"/>
    </row>
    <row r="2103" customFormat="1" s="82">
      <c r="O2103" s="89" t="n"/>
    </row>
    <row r="2104" customFormat="1" s="82">
      <c r="O2104" s="89" t="n"/>
    </row>
    <row r="2105" customFormat="1" s="82">
      <c r="O2105" s="89" t="n"/>
    </row>
    <row r="2106" customFormat="1" s="82">
      <c r="O2106" s="89" t="n"/>
    </row>
    <row r="2107" customFormat="1" s="82">
      <c r="O2107" s="89" t="n"/>
    </row>
    <row r="2108" customFormat="1" s="82">
      <c r="O2108" s="89" t="n"/>
    </row>
    <row r="2109" customFormat="1" s="82">
      <c r="O2109" s="89" t="n"/>
    </row>
    <row r="2110" customFormat="1" s="82">
      <c r="O2110" s="89" t="n"/>
    </row>
    <row r="2111" customFormat="1" s="82">
      <c r="O2111" s="89" t="n"/>
    </row>
    <row r="2112" customFormat="1" s="82">
      <c r="O2112" s="89" t="n"/>
    </row>
    <row r="2113" customFormat="1" s="82">
      <c r="O2113" s="89" t="n"/>
    </row>
    <row r="2114" customFormat="1" s="82">
      <c r="O2114" s="89" t="n"/>
    </row>
    <row r="2115" customFormat="1" s="82">
      <c r="O2115" s="89" t="n"/>
    </row>
    <row r="2116" customFormat="1" s="82">
      <c r="O2116" s="89" t="n"/>
    </row>
    <row r="2117" customFormat="1" s="82">
      <c r="O2117" s="89" t="n"/>
    </row>
    <row r="2118" customFormat="1" s="82">
      <c r="O2118" s="89" t="n"/>
    </row>
    <row r="2119" customFormat="1" s="82">
      <c r="O2119" s="89" t="n"/>
    </row>
    <row r="2120" customFormat="1" s="82">
      <c r="O2120" s="89" t="n"/>
    </row>
    <row r="2121" customFormat="1" s="82">
      <c r="O2121" s="89" t="n"/>
    </row>
    <row r="2122" customFormat="1" s="82">
      <c r="O2122" s="89" t="n"/>
    </row>
    <row r="2123" customFormat="1" s="82">
      <c r="O2123" s="89" t="n"/>
    </row>
    <row r="2124" customFormat="1" s="82">
      <c r="O2124" s="89" t="n"/>
    </row>
    <row r="2125" customFormat="1" s="82">
      <c r="O2125" s="89" t="n"/>
    </row>
    <row r="2126" customFormat="1" s="82">
      <c r="O2126" s="89" t="n"/>
    </row>
    <row r="2127" customFormat="1" s="82">
      <c r="O2127" s="89" t="n"/>
    </row>
    <row r="2128" customFormat="1" s="82">
      <c r="O2128" s="89" t="n"/>
    </row>
    <row r="2129" customFormat="1" s="82">
      <c r="O2129" s="89" t="n"/>
    </row>
    <row r="2130" customFormat="1" s="82">
      <c r="O2130" s="89" t="n"/>
    </row>
    <row r="2131" customFormat="1" s="82">
      <c r="O2131" s="89" t="n"/>
    </row>
    <row r="2132" customFormat="1" s="82">
      <c r="O2132" s="89" t="n"/>
    </row>
    <row r="2133" customFormat="1" s="82">
      <c r="O2133" s="89" t="n"/>
    </row>
    <row r="2134" customFormat="1" s="82">
      <c r="O2134" s="89" t="n"/>
    </row>
    <row r="2135" customFormat="1" s="82">
      <c r="O2135" s="89" t="n"/>
    </row>
    <row r="2136" customFormat="1" s="82">
      <c r="O2136" s="89" t="n"/>
    </row>
    <row r="2137" customFormat="1" s="82">
      <c r="O2137" s="89" t="n"/>
    </row>
    <row r="2138" customFormat="1" s="82">
      <c r="O2138" s="89" t="n"/>
    </row>
    <row r="2139" customFormat="1" s="82">
      <c r="O2139" s="89" t="n"/>
    </row>
    <row r="2140" customFormat="1" s="82">
      <c r="O2140" s="89" t="n"/>
    </row>
    <row r="2141" customFormat="1" s="82">
      <c r="O2141" s="89" t="n"/>
    </row>
    <row r="2142" customFormat="1" s="82">
      <c r="O2142" s="89" t="n"/>
    </row>
    <row r="2143" customFormat="1" s="82">
      <c r="O2143" s="89" t="n"/>
    </row>
    <row r="2144" customFormat="1" s="82">
      <c r="O2144" s="89" t="n"/>
    </row>
    <row r="2145" customFormat="1" s="82">
      <c r="O2145" s="89" t="n"/>
    </row>
    <row r="2146" customFormat="1" s="82">
      <c r="O2146" s="89" t="n"/>
    </row>
    <row r="2147" customFormat="1" s="82">
      <c r="O2147" s="89" t="n"/>
    </row>
    <row r="2148" customFormat="1" s="82">
      <c r="O2148" s="89" t="n"/>
    </row>
    <row r="2149" customFormat="1" s="82">
      <c r="O2149" s="89" t="n"/>
    </row>
    <row r="2150" customFormat="1" s="82">
      <c r="O2150" s="89" t="n"/>
    </row>
    <row r="2151" customFormat="1" s="82">
      <c r="O2151" s="89" t="n"/>
    </row>
    <row r="2152" customFormat="1" s="82">
      <c r="O2152" s="89" t="n"/>
    </row>
    <row r="2153" customFormat="1" s="82">
      <c r="O2153" s="89" t="n"/>
    </row>
    <row r="2154" customFormat="1" s="82">
      <c r="O2154" s="89" t="n"/>
    </row>
    <row r="2155" customFormat="1" s="82">
      <c r="O2155" s="89" t="n"/>
    </row>
    <row r="2156" customFormat="1" s="82">
      <c r="O2156" s="89" t="n"/>
    </row>
    <row r="2157" customFormat="1" s="82">
      <c r="O2157" s="89" t="n"/>
    </row>
    <row r="2158" customFormat="1" s="82">
      <c r="O2158" s="89" t="n"/>
    </row>
    <row r="2159" customFormat="1" s="82">
      <c r="O2159" s="89" t="n"/>
    </row>
    <row r="2160" customFormat="1" s="82">
      <c r="O2160" s="89" t="n"/>
    </row>
    <row r="2161" customFormat="1" s="82">
      <c r="O2161" s="89" t="n"/>
    </row>
    <row r="2162" customFormat="1" s="82">
      <c r="O2162" s="89" t="n"/>
    </row>
    <row r="2163" customFormat="1" s="82">
      <c r="O2163" s="89" t="n"/>
    </row>
    <row r="2164" customFormat="1" s="82">
      <c r="O2164" s="89" t="n"/>
    </row>
    <row r="2165" customFormat="1" s="82">
      <c r="O2165" s="89" t="n"/>
    </row>
    <row r="2166" customFormat="1" s="82">
      <c r="O2166" s="89" t="n"/>
    </row>
    <row r="2167" customFormat="1" s="82">
      <c r="O2167" s="89" t="n"/>
    </row>
    <row r="2168" customFormat="1" s="82">
      <c r="O2168" s="89" t="n"/>
    </row>
    <row r="2169" customFormat="1" s="82">
      <c r="O2169" s="89" t="n"/>
    </row>
    <row r="2170" customFormat="1" s="82">
      <c r="O2170" s="89" t="n"/>
    </row>
    <row r="2171" customFormat="1" s="82">
      <c r="O2171" s="89" t="n"/>
    </row>
    <row r="2172" customFormat="1" s="82">
      <c r="O2172" s="89" t="n"/>
    </row>
    <row r="2173" customFormat="1" s="82">
      <c r="O2173" s="89" t="n"/>
    </row>
    <row r="2174" customFormat="1" s="82">
      <c r="O2174" s="89" t="n"/>
    </row>
    <row r="2175" customFormat="1" s="82">
      <c r="O2175" s="89" t="n"/>
    </row>
    <row r="2176" customFormat="1" s="82">
      <c r="O2176" s="89" t="n"/>
    </row>
    <row r="2177" customFormat="1" s="82">
      <c r="O2177" s="89" t="n"/>
    </row>
    <row r="2178" customFormat="1" s="82">
      <c r="O2178" s="89" t="n"/>
    </row>
    <row r="2179" customFormat="1" s="82">
      <c r="O2179" s="89" t="n"/>
    </row>
    <row r="2180" customFormat="1" s="82">
      <c r="O2180" s="89" t="n"/>
    </row>
    <row r="2181" customFormat="1" s="82">
      <c r="O2181" s="89" t="n"/>
    </row>
    <row r="2182" customFormat="1" s="82">
      <c r="O2182" s="89" t="n"/>
    </row>
    <row r="2183" customFormat="1" s="82">
      <c r="O2183" s="89" t="n"/>
    </row>
    <row r="2184" customFormat="1" s="82">
      <c r="O2184" s="89" t="n"/>
    </row>
    <row r="2185" customFormat="1" s="82">
      <c r="O2185" s="89" t="n"/>
    </row>
    <row r="2186" customFormat="1" s="82">
      <c r="O2186" s="89" t="n"/>
    </row>
    <row r="2187" customFormat="1" s="82">
      <c r="O2187" s="89" t="n"/>
    </row>
    <row r="2188" customFormat="1" s="82">
      <c r="O2188" s="89" t="n"/>
    </row>
    <row r="2189" customFormat="1" s="82">
      <c r="O2189" s="89" t="n"/>
    </row>
    <row r="2190" customFormat="1" s="82">
      <c r="O2190" s="89" t="n"/>
    </row>
    <row r="2191" customFormat="1" s="82">
      <c r="O2191" s="89" t="n"/>
    </row>
    <row r="2192" customFormat="1" s="82">
      <c r="O2192" s="89" t="n"/>
    </row>
    <row r="2193" customFormat="1" s="82">
      <c r="O2193" s="89" t="n"/>
    </row>
    <row r="2194" customFormat="1" s="82">
      <c r="O2194" s="89" t="n"/>
    </row>
    <row r="2195" customFormat="1" s="82">
      <c r="O2195" s="89" t="n"/>
    </row>
    <row r="2196" customFormat="1" s="82">
      <c r="O2196" s="89" t="n"/>
    </row>
    <row r="2197" customFormat="1" s="82">
      <c r="O2197" s="89" t="n"/>
    </row>
    <row r="2198" customFormat="1" s="82">
      <c r="O2198" s="89" t="n"/>
    </row>
    <row r="2199" customFormat="1" s="82">
      <c r="O2199" s="89" t="n"/>
    </row>
    <row r="2200" customFormat="1" s="82">
      <c r="O2200" s="89" t="n"/>
    </row>
    <row r="2201" customFormat="1" s="82">
      <c r="O2201" s="89" t="n"/>
    </row>
    <row r="2202" customFormat="1" s="82">
      <c r="O2202" s="89" t="n"/>
    </row>
    <row r="2203" customFormat="1" s="82">
      <c r="O2203" s="89" t="n"/>
    </row>
    <row r="2204" customFormat="1" s="82">
      <c r="O2204" s="89" t="n"/>
    </row>
    <row r="2205" customFormat="1" s="82">
      <c r="O2205" s="89" t="n"/>
    </row>
    <row r="2206" customFormat="1" s="82">
      <c r="O2206" s="89" t="n"/>
    </row>
    <row r="2207" customFormat="1" s="82">
      <c r="O2207" s="89" t="n"/>
    </row>
    <row r="2208" customFormat="1" s="82">
      <c r="O2208" s="89" t="n"/>
    </row>
    <row r="2209" customFormat="1" s="82">
      <c r="O2209" s="89" t="n"/>
    </row>
    <row r="2210" customFormat="1" s="82">
      <c r="O2210" s="89" t="n"/>
    </row>
    <row r="2211" customFormat="1" s="82">
      <c r="O2211" s="89" t="n"/>
    </row>
    <row r="2212" customFormat="1" s="82">
      <c r="O2212" s="89" t="n"/>
    </row>
    <row r="2213" customFormat="1" s="82">
      <c r="O2213" s="89" t="n"/>
    </row>
    <row r="2214" customFormat="1" s="82">
      <c r="O2214" s="89" t="n"/>
    </row>
    <row r="2215" customFormat="1" s="82">
      <c r="O2215" s="89" t="n"/>
    </row>
    <row r="2216" customFormat="1" s="82">
      <c r="O2216" s="89" t="n"/>
    </row>
    <row r="2217" customFormat="1" s="82">
      <c r="O2217" s="89" t="n"/>
    </row>
    <row r="2218" customFormat="1" s="82">
      <c r="O2218" s="89" t="n"/>
    </row>
    <row r="2219" customFormat="1" s="82">
      <c r="O2219" s="89" t="n"/>
    </row>
    <row r="2220" customFormat="1" s="82">
      <c r="O2220" s="89" t="n"/>
    </row>
    <row r="2221" customFormat="1" s="82">
      <c r="O2221" s="89" t="n"/>
    </row>
    <row r="2222" customFormat="1" s="82">
      <c r="O2222" s="89" t="n"/>
    </row>
    <row r="2223" customFormat="1" s="82">
      <c r="O2223" s="89" t="n"/>
    </row>
    <row r="2224" customFormat="1" s="82">
      <c r="O2224" s="89" t="n"/>
    </row>
    <row r="2225" customFormat="1" s="82">
      <c r="O2225" s="89" t="n"/>
    </row>
    <row r="2226" customFormat="1" s="82">
      <c r="O2226" s="89" t="n"/>
    </row>
    <row r="2227" customFormat="1" s="82">
      <c r="O2227" s="89" t="n"/>
    </row>
    <row r="2228" customFormat="1" s="82">
      <c r="O2228" s="89" t="n"/>
    </row>
    <row r="2229" customFormat="1" s="82">
      <c r="O2229" s="89" t="n"/>
    </row>
    <row r="2230" customFormat="1" s="82">
      <c r="O2230" s="89" t="n"/>
    </row>
    <row r="2231" customFormat="1" s="82">
      <c r="O2231" s="89" t="n"/>
    </row>
    <row r="2232" customFormat="1" s="82">
      <c r="O2232" s="89" t="n"/>
    </row>
    <row r="2233" customFormat="1" s="82">
      <c r="O2233" s="89" t="n"/>
    </row>
    <row r="2234" customFormat="1" s="82">
      <c r="O2234" s="89" t="n"/>
    </row>
    <row r="2235" customFormat="1" s="82">
      <c r="O2235" s="89" t="n"/>
    </row>
    <row r="2236" customFormat="1" s="82">
      <c r="O2236" s="89" t="n"/>
    </row>
    <row r="2237" customFormat="1" s="82">
      <c r="O2237" s="89" t="n"/>
    </row>
    <row r="2238" customFormat="1" s="82">
      <c r="O2238" s="89" t="n"/>
    </row>
    <row r="2239" customFormat="1" s="82">
      <c r="O2239" s="89" t="n"/>
    </row>
    <row r="2240" customFormat="1" s="82">
      <c r="O2240" s="89" t="n"/>
    </row>
    <row r="2241" customFormat="1" s="82">
      <c r="O2241" s="89" t="n"/>
    </row>
    <row r="2242" customFormat="1" s="82">
      <c r="O2242" s="89" t="n"/>
    </row>
    <row r="2243" customFormat="1" s="82">
      <c r="O2243" s="89" t="n"/>
    </row>
    <row r="2244" customFormat="1" s="82">
      <c r="O2244" s="89" t="n"/>
    </row>
    <row r="2245" customFormat="1" s="82">
      <c r="O2245" s="89" t="n"/>
    </row>
    <row r="2246" customFormat="1" s="82">
      <c r="O2246" s="89" t="n"/>
    </row>
    <row r="2247" customFormat="1" s="82">
      <c r="O2247" s="89" t="n"/>
    </row>
    <row r="2248" customFormat="1" s="82">
      <c r="O2248" s="89" t="n"/>
    </row>
    <row r="2249" customFormat="1" s="82">
      <c r="O2249" s="89" t="n"/>
    </row>
    <row r="2250" customFormat="1" s="82">
      <c r="O2250" s="89" t="n"/>
    </row>
    <row r="2251" customFormat="1" s="82">
      <c r="O2251" s="89" t="n"/>
    </row>
    <row r="2252" customFormat="1" s="82">
      <c r="O2252" s="89" t="n"/>
    </row>
    <row r="2253" customFormat="1" s="82">
      <c r="O2253" s="89" t="n"/>
    </row>
    <row r="2254" customFormat="1" s="82">
      <c r="O2254" s="89" t="n"/>
    </row>
    <row r="2255" customFormat="1" s="82">
      <c r="O2255" s="89" t="n"/>
    </row>
    <row r="2256" customFormat="1" s="82">
      <c r="O2256" s="89" t="n"/>
    </row>
    <row r="2257" customFormat="1" s="82">
      <c r="O2257" s="89" t="n"/>
    </row>
    <row r="2258" customFormat="1" s="82">
      <c r="O2258" s="89" t="n"/>
    </row>
    <row r="2259" customFormat="1" s="82">
      <c r="O2259" s="89" t="n"/>
    </row>
    <row r="2260" customFormat="1" s="82">
      <c r="O2260" s="89" t="n"/>
    </row>
    <row r="2261" customFormat="1" s="82">
      <c r="O2261" s="89" t="n"/>
    </row>
    <row r="2262" customFormat="1" s="82">
      <c r="O2262" s="89" t="n"/>
    </row>
    <row r="2263" customFormat="1" s="82">
      <c r="O2263" s="89" t="n"/>
    </row>
    <row r="2264" customFormat="1" s="82">
      <c r="O2264" s="89" t="n"/>
    </row>
    <row r="2265" customFormat="1" s="82">
      <c r="O2265" s="89" t="n"/>
    </row>
    <row r="2266" customFormat="1" s="82">
      <c r="O2266" s="89" t="n"/>
    </row>
    <row r="2267" customFormat="1" s="82">
      <c r="O2267" s="89" t="n"/>
    </row>
    <row r="2268" customFormat="1" s="82">
      <c r="O2268" s="89" t="n"/>
    </row>
    <row r="2269" customFormat="1" s="82">
      <c r="O2269" s="89" t="n"/>
    </row>
    <row r="2270" customFormat="1" s="82">
      <c r="O2270" s="89" t="n"/>
    </row>
    <row r="2271" customFormat="1" s="82">
      <c r="O2271" s="89" t="n"/>
    </row>
    <row r="2272" customFormat="1" s="82">
      <c r="O2272" s="89" t="n"/>
    </row>
    <row r="2273" customFormat="1" s="82">
      <c r="O2273" s="89" t="n"/>
    </row>
    <row r="2274" customFormat="1" s="82">
      <c r="O2274" s="89" t="n"/>
    </row>
    <row r="2275" customFormat="1" s="82">
      <c r="O2275" s="89" t="n"/>
    </row>
    <row r="2276" customFormat="1" s="82">
      <c r="O2276" s="89" t="n"/>
    </row>
    <row r="2277" customFormat="1" s="82">
      <c r="O2277" s="89" t="n"/>
    </row>
    <row r="2278" customFormat="1" s="82">
      <c r="O2278" s="89" t="n"/>
    </row>
    <row r="2279" customFormat="1" s="82">
      <c r="O2279" s="89" t="n"/>
    </row>
    <row r="2280" customFormat="1" s="82">
      <c r="O2280" s="89" t="n"/>
    </row>
    <row r="2281" customFormat="1" s="82">
      <c r="O2281" s="89" t="n"/>
    </row>
    <row r="2282" customFormat="1" s="82">
      <c r="O2282" s="89" t="n"/>
    </row>
    <row r="2283" customFormat="1" s="82">
      <c r="O2283" s="89" t="n"/>
    </row>
    <row r="2284" customFormat="1" s="82">
      <c r="O2284" s="89" t="n"/>
    </row>
    <row r="2285" customFormat="1" s="82">
      <c r="O2285" s="89" t="n"/>
    </row>
    <row r="2286" customFormat="1" s="82">
      <c r="O2286" s="89" t="n"/>
    </row>
    <row r="2287" customFormat="1" s="82">
      <c r="O2287" s="89" t="n"/>
    </row>
    <row r="2288" customFormat="1" s="82">
      <c r="O2288" s="89" t="n"/>
    </row>
    <row r="2289" customFormat="1" s="82">
      <c r="O2289" s="89" t="n"/>
    </row>
    <row r="2290" customFormat="1" s="82">
      <c r="O2290" s="89" t="n"/>
    </row>
    <row r="2291" customFormat="1" s="82">
      <c r="O2291" s="89" t="n"/>
    </row>
    <row r="2292" customFormat="1" s="82">
      <c r="O2292" s="89" t="n"/>
    </row>
    <row r="2293" customFormat="1" s="82">
      <c r="O2293" s="89" t="n"/>
    </row>
    <row r="2294" customFormat="1" s="82">
      <c r="O2294" s="89" t="n"/>
    </row>
    <row r="2295" customFormat="1" s="82">
      <c r="O2295" s="89" t="n"/>
    </row>
    <row r="2296" customFormat="1" s="82">
      <c r="O2296" s="89" t="n"/>
    </row>
    <row r="2297" customFormat="1" s="82">
      <c r="O2297" s="89" t="n"/>
    </row>
    <row r="2298" customFormat="1" s="82">
      <c r="O2298" s="89" t="n"/>
    </row>
    <row r="2299" customFormat="1" s="82">
      <c r="O2299" s="89" t="n"/>
    </row>
    <row r="2300" customFormat="1" s="82">
      <c r="O2300" s="89" t="n"/>
    </row>
    <row r="2301" customFormat="1" s="82">
      <c r="O2301" s="89" t="n"/>
    </row>
    <row r="2302" customFormat="1" s="82">
      <c r="O2302" s="89" t="n"/>
    </row>
    <row r="2303" customFormat="1" s="82">
      <c r="O2303" s="89" t="n"/>
    </row>
    <row r="2304" customFormat="1" s="82">
      <c r="O2304" s="89" t="n"/>
    </row>
    <row r="2305" customFormat="1" s="82">
      <c r="O2305" s="89" t="n"/>
    </row>
    <row r="2306" customFormat="1" s="82">
      <c r="O2306" s="89" t="n"/>
    </row>
    <row r="2307" customFormat="1" s="82">
      <c r="O2307" s="89" t="n"/>
    </row>
    <row r="2308" customFormat="1" s="82">
      <c r="O2308" s="89" t="n"/>
    </row>
    <row r="2309" customFormat="1" s="82">
      <c r="O2309" s="89" t="n"/>
    </row>
    <row r="2310" customFormat="1" s="82">
      <c r="O2310" s="89" t="n"/>
    </row>
    <row r="2311" customFormat="1" s="82">
      <c r="O2311" s="89" t="n"/>
    </row>
    <row r="2312" customFormat="1" s="82">
      <c r="O2312" s="89" t="n"/>
    </row>
    <row r="2313" customFormat="1" s="82">
      <c r="O2313" s="89" t="n"/>
    </row>
    <row r="2314" customFormat="1" s="82">
      <c r="O2314" s="89" t="n"/>
    </row>
    <row r="2315" customFormat="1" s="82">
      <c r="O2315" s="89" t="n"/>
    </row>
    <row r="2316" customFormat="1" s="82">
      <c r="O2316" s="89" t="n"/>
    </row>
    <row r="2317" customFormat="1" s="82">
      <c r="O2317" s="89" t="n"/>
    </row>
    <row r="2318" customFormat="1" s="82">
      <c r="O2318" s="89" t="n"/>
    </row>
    <row r="2319" customFormat="1" s="82">
      <c r="O2319" s="89" t="n"/>
    </row>
    <row r="2320" customFormat="1" s="82">
      <c r="O2320" s="89" t="n"/>
    </row>
    <row r="2321" customFormat="1" s="82">
      <c r="O2321" s="89" t="n"/>
    </row>
    <row r="2322" customFormat="1" s="82">
      <c r="O2322" s="89" t="n"/>
    </row>
    <row r="2323" customFormat="1" s="82">
      <c r="O2323" s="89" t="n"/>
    </row>
    <row r="2324" customFormat="1" s="82">
      <c r="O2324" s="89" t="n"/>
    </row>
    <row r="2325" customFormat="1" s="82">
      <c r="O2325" s="89" t="n"/>
    </row>
    <row r="2326" customFormat="1" s="82">
      <c r="O2326" s="89" t="n"/>
    </row>
    <row r="2327" customFormat="1" s="82">
      <c r="O2327" s="89" t="n"/>
    </row>
    <row r="2328" customFormat="1" s="82">
      <c r="O2328" s="89" t="n"/>
    </row>
    <row r="2329" customFormat="1" s="82">
      <c r="O2329" s="89" t="n"/>
    </row>
    <row r="2330" customFormat="1" s="82">
      <c r="O2330" s="89" t="n"/>
    </row>
    <row r="2331" customFormat="1" s="82">
      <c r="O2331" s="89" t="n"/>
    </row>
    <row r="2332" customFormat="1" s="82">
      <c r="O2332" s="89" t="n"/>
    </row>
    <row r="2333" customFormat="1" s="82">
      <c r="O2333" s="89" t="n"/>
    </row>
    <row r="2334" customFormat="1" s="82">
      <c r="O2334" s="89" t="n"/>
    </row>
    <row r="2335" customFormat="1" s="82">
      <c r="O2335" s="89" t="n"/>
    </row>
    <row r="2336" customFormat="1" s="82">
      <c r="O2336" s="89" t="n"/>
    </row>
    <row r="2337" customFormat="1" s="82">
      <c r="O2337" s="89" t="n"/>
    </row>
    <row r="2338" customFormat="1" s="82">
      <c r="O2338" s="89" t="n"/>
    </row>
    <row r="2339" customFormat="1" s="82">
      <c r="O2339" s="89" t="n"/>
    </row>
    <row r="2340" customFormat="1" s="82">
      <c r="O2340" s="89" t="n"/>
    </row>
    <row r="2341" customFormat="1" s="82">
      <c r="O2341" s="89" t="n"/>
    </row>
    <row r="2342" customFormat="1" s="82">
      <c r="O2342" s="89" t="n"/>
    </row>
    <row r="2343" customFormat="1" s="82">
      <c r="O2343" s="89" t="n"/>
    </row>
    <row r="2344" customFormat="1" s="82">
      <c r="O2344" s="89" t="n"/>
    </row>
    <row r="2345" customFormat="1" s="82">
      <c r="O2345" s="89" t="n"/>
    </row>
    <row r="2346" customFormat="1" s="82">
      <c r="O2346" s="89" t="n"/>
    </row>
    <row r="2347" customFormat="1" s="82">
      <c r="O2347" s="89" t="n"/>
    </row>
    <row r="2348" customFormat="1" s="82">
      <c r="O2348" s="89" t="n"/>
    </row>
    <row r="2349" customFormat="1" s="82">
      <c r="O2349" s="89" t="n"/>
    </row>
    <row r="2350" customFormat="1" s="82">
      <c r="O2350" s="89" t="n"/>
    </row>
    <row r="2351" customFormat="1" s="82">
      <c r="O2351" s="89" t="n"/>
    </row>
    <row r="2352" customFormat="1" s="82">
      <c r="O2352" s="89" t="n"/>
    </row>
    <row r="2353" customFormat="1" s="82">
      <c r="O2353" s="89" t="n"/>
    </row>
    <row r="2354" customFormat="1" s="82">
      <c r="O2354" s="89" t="n"/>
    </row>
    <row r="2355" customFormat="1" s="82">
      <c r="O2355" s="89" t="n"/>
    </row>
    <row r="2356" customFormat="1" s="82">
      <c r="O2356" s="89" t="n"/>
    </row>
    <row r="2357" customFormat="1" s="82">
      <c r="O2357" s="89" t="n"/>
    </row>
    <row r="2358" customFormat="1" s="82">
      <c r="O2358" s="89" t="n"/>
    </row>
    <row r="2359" customFormat="1" s="82">
      <c r="O2359" s="89" t="n"/>
    </row>
    <row r="2360" customFormat="1" s="82">
      <c r="O2360" s="89" t="n"/>
    </row>
    <row r="2361" customFormat="1" s="82">
      <c r="O2361" s="89" t="n"/>
    </row>
    <row r="2362" customFormat="1" s="82">
      <c r="O2362" s="89" t="n"/>
    </row>
    <row r="2363" customFormat="1" s="82">
      <c r="O2363" s="89" t="n"/>
    </row>
    <row r="2364" customFormat="1" s="82">
      <c r="O2364" s="89" t="n"/>
    </row>
    <row r="2365" customFormat="1" s="82">
      <c r="O2365" s="89" t="n"/>
    </row>
    <row r="2366" customFormat="1" s="82">
      <c r="O2366" s="89" t="n"/>
    </row>
    <row r="2367" customFormat="1" s="82">
      <c r="O2367" s="89" t="n"/>
    </row>
    <row r="2368" customFormat="1" s="82">
      <c r="O2368" s="89" t="n"/>
    </row>
    <row r="2369" customFormat="1" s="82">
      <c r="O2369" s="89" t="n"/>
    </row>
    <row r="2370" customFormat="1" s="82">
      <c r="O2370" s="89" t="n"/>
    </row>
    <row r="2371" customFormat="1" s="82">
      <c r="O2371" s="89" t="n"/>
    </row>
    <row r="2372" customFormat="1" s="82">
      <c r="O2372" s="89" t="n"/>
    </row>
    <row r="2373" customFormat="1" s="82">
      <c r="O2373" s="89" t="n"/>
    </row>
    <row r="2374" customFormat="1" s="82">
      <c r="O2374" s="89" t="n"/>
    </row>
    <row r="2375" customFormat="1" s="82">
      <c r="O2375" s="89" t="n"/>
    </row>
    <row r="2376" customFormat="1" s="82">
      <c r="O2376" s="89" t="n"/>
    </row>
    <row r="2377" customFormat="1" s="82">
      <c r="O2377" s="89" t="n"/>
    </row>
    <row r="2378" customFormat="1" s="82">
      <c r="O2378" s="89" t="n"/>
    </row>
    <row r="2379" customFormat="1" s="82">
      <c r="O2379" s="89" t="n"/>
    </row>
    <row r="2380" customFormat="1" s="82">
      <c r="O2380" s="89" t="n"/>
    </row>
    <row r="2381" customFormat="1" s="82">
      <c r="O2381" s="89" t="n"/>
    </row>
    <row r="2382" customFormat="1" s="82">
      <c r="O2382" s="89" t="n"/>
    </row>
    <row r="2383" customFormat="1" s="82">
      <c r="O2383" s="89" t="n"/>
    </row>
    <row r="2384" customFormat="1" s="82">
      <c r="O2384" s="89" t="n"/>
    </row>
    <row r="2385" customFormat="1" s="82">
      <c r="O2385" s="89" t="n"/>
    </row>
    <row r="2386" customFormat="1" s="82">
      <c r="O2386" s="89" t="n"/>
    </row>
    <row r="2387" customFormat="1" s="82">
      <c r="O2387" s="89" t="n"/>
    </row>
    <row r="2388" customFormat="1" s="82">
      <c r="O2388" s="89" t="n"/>
    </row>
    <row r="2389" customFormat="1" s="82">
      <c r="O2389" s="89" t="n"/>
    </row>
    <row r="2390" customFormat="1" s="82">
      <c r="O2390" s="89" t="n"/>
    </row>
    <row r="2391" customFormat="1" s="82">
      <c r="O2391" s="89" t="n"/>
    </row>
    <row r="2392" customFormat="1" s="82">
      <c r="O2392" s="89" t="n"/>
    </row>
    <row r="2393" customFormat="1" s="82">
      <c r="O2393" s="89" t="n"/>
    </row>
    <row r="2394" customFormat="1" s="82">
      <c r="O2394" s="89" t="n"/>
    </row>
    <row r="2395" customFormat="1" s="82">
      <c r="O2395" s="89" t="n"/>
    </row>
    <row r="2396" customFormat="1" s="82">
      <c r="O2396" s="89" t="n"/>
    </row>
    <row r="2397" customFormat="1" s="82">
      <c r="O2397" s="89" t="n"/>
    </row>
    <row r="2398" customFormat="1" s="82">
      <c r="O2398" s="89" t="n"/>
    </row>
    <row r="2399" customFormat="1" s="82">
      <c r="O2399" s="89" t="n"/>
    </row>
    <row r="2400" customFormat="1" s="82">
      <c r="O2400" s="89" t="n"/>
    </row>
    <row r="2401" customFormat="1" s="82">
      <c r="O2401" s="89" t="n"/>
    </row>
    <row r="2402" customFormat="1" s="82">
      <c r="O2402" s="89" t="n"/>
    </row>
    <row r="2403" customFormat="1" s="82">
      <c r="O2403" s="89" t="n"/>
    </row>
    <row r="2404" customFormat="1" s="82">
      <c r="O2404" s="89" t="n"/>
    </row>
    <row r="2405" customFormat="1" s="82">
      <c r="O2405" s="89" t="n"/>
    </row>
    <row r="2406" customFormat="1" s="82">
      <c r="O2406" s="89" t="n"/>
    </row>
    <row r="2407" customFormat="1" s="82">
      <c r="O2407" s="89" t="n"/>
    </row>
    <row r="2408" customFormat="1" s="82">
      <c r="O2408" s="89" t="n"/>
    </row>
    <row r="2409" customFormat="1" s="82">
      <c r="O2409" s="89" t="n"/>
    </row>
    <row r="2410" customFormat="1" s="82">
      <c r="O2410" s="89" t="n"/>
    </row>
    <row r="2411" customFormat="1" s="82">
      <c r="O2411" s="89" t="n"/>
    </row>
    <row r="2412" customFormat="1" s="82">
      <c r="O2412" s="89" t="n"/>
    </row>
    <row r="2413" customFormat="1" s="82">
      <c r="O2413" s="89" t="n"/>
    </row>
    <row r="2414" customFormat="1" s="82">
      <c r="O2414" s="89" t="n"/>
    </row>
    <row r="2415" customFormat="1" s="82">
      <c r="O2415" s="89" t="n"/>
    </row>
    <row r="2416" customFormat="1" s="82">
      <c r="O2416" s="89" t="n"/>
    </row>
    <row r="2417" customFormat="1" s="82">
      <c r="O2417" s="89" t="n"/>
    </row>
    <row r="2418" customFormat="1" s="82">
      <c r="O2418" s="89" t="n"/>
    </row>
    <row r="2419" customFormat="1" s="82">
      <c r="O2419" s="89" t="n"/>
    </row>
    <row r="2420" customFormat="1" s="82">
      <c r="O2420" s="89" t="n"/>
    </row>
    <row r="2421" customFormat="1" s="82">
      <c r="O2421" s="89" t="n"/>
    </row>
    <row r="2422" customFormat="1" s="82">
      <c r="O2422" s="89" t="n"/>
    </row>
    <row r="2423" customFormat="1" s="82">
      <c r="O2423" s="89" t="n"/>
    </row>
    <row r="2424" customFormat="1" s="82">
      <c r="O2424" s="89" t="n"/>
    </row>
    <row r="2425" customFormat="1" s="82">
      <c r="O2425" s="89" t="n"/>
    </row>
    <row r="2426" customFormat="1" s="82">
      <c r="O2426" s="89" t="n"/>
    </row>
    <row r="2427" customFormat="1" s="82">
      <c r="O2427" s="89" t="n"/>
    </row>
    <row r="2428" customFormat="1" s="82">
      <c r="O2428" s="89" t="n"/>
    </row>
    <row r="2429" customFormat="1" s="82">
      <c r="O2429" s="89" t="n"/>
    </row>
    <row r="2430" customFormat="1" s="82">
      <c r="O2430" s="89" t="n"/>
    </row>
    <row r="2431" customFormat="1" s="82">
      <c r="O2431" s="89" t="n"/>
    </row>
    <row r="2432" customFormat="1" s="82">
      <c r="O2432" s="89" t="n"/>
    </row>
    <row r="2433" customFormat="1" s="82">
      <c r="O2433" s="89" t="n"/>
    </row>
    <row r="2434" customFormat="1" s="82">
      <c r="O2434" s="89" t="n"/>
    </row>
    <row r="2435" customFormat="1" s="82">
      <c r="O2435" s="89" t="n"/>
    </row>
    <row r="2436" customFormat="1" s="82">
      <c r="O2436" s="89" t="n"/>
    </row>
    <row r="2437" customFormat="1" s="82">
      <c r="O2437" s="89" t="n"/>
    </row>
    <row r="2438" customFormat="1" s="82">
      <c r="O2438" s="89" t="n"/>
    </row>
    <row r="2439" customFormat="1" s="82">
      <c r="O2439" s="89" t="n"/>
    </row>
    <row r="2440" customFormat="1" s="82">
      <c r="O2440" s="89" t="n"/>
    </row>
    <row r="2441" customFormat="1" s="82">
      <c r="O2441" s="89" t="n"/>
    </row>
    <row r="2442" customFormat="1" s="82">
      <c r="O2442" s="89" t="n"/>
    </row>
    <row r="2443" customFormat="1" s="82">
      <c r="O2443" s="89" t="n"/>
    </row>
    <row r="2444" customFormat="1" s="82">
      <c r="O2444" s="89" t="n"/>
    </row>
    <row r="2445" customFormat="1" s="82">
      <c r="O2445" s="89" t="n"/>
    </row>
    <row r="2446" customFormat="1" s="82">
      <c r="O2446" s="89" t="n"/>
    </row>
    <row r="2447" customFormat="1" s="82">
      <c r="O2447" s="89" t="n"/>
    </row>
    <row r="2448" customFormat="1" s="82">
      <c r="O2448" s="89" t="n"/>
    </row>
    <row r="2449" customFormat="1" s="82">
      <c r="O2449" s="89" t="n"/>
    </row>
    <row r="2450" customFormat="1" s="82">
      <c r="O2450" s="89" t="n"/>
    </row>
    <row r="2451" customFormat="1" s="82">
      <c r="O2451" s="89" t="n"/>
    </row>
    <row r="2452" customFormat="1" s="82">
      <c r="O2452" s="89" t="n"/>
    </row>
    <row r="2453" customFormat="1" s="82">
      <c r="O2453" s="89" t="n"/>
    </row>
    <row r="2454" customFormat="1" s="82">
      <c r="O2454" s="89" t="n"/>
    </row>
    <row r="2455" customFormat="1" s="82">
      <c r="O2455" s="89" t="n"/>
    </row>
    <row r="2456" customFormat="1" s="82">
      <c r="O2456" s="89" t="n"/>
    </row>
    <row r="2457" customFormat="1" s="82">
      <c r="O2457" s="89" t="n"/>
    </row>
    <row r="2458" customFormat="1" s="82">
      <c r="O2458" s="89" t="n"/>
    </row>
    <row r="2459" customFormat="1" s="82">
      <c r="O2459" s="89" t="n"/>
    </row>
    <row r="2460" customFormat="1" s="82">
      <c r="O2460" s="89" t="n"/>
    </row>
    <row r="2461" customFormat="1" s="82">
      <c r="O2461" s="89" t="n"/>
    </row>
    <row r="2462" customFormat="1" s="82">
      <c r="O2462" s="89" t="n"/>
    </row>
    <row r="2463" customFormat="1" s="82">
      <c r="O2463" s="89" t="n"/>
    </row>
    <row r="2464" customFormat="1" s="82">
      <c r="O2464" s="89" t="n"/>
    </row>
    <row r="2465" customFormat="1" s="82">
      <c r="O2465" s="89" t="n"/>
    </row>
    <row r="2466" customFormat="1" s="82">
      <c r="O2466" s="89" t="n"/>
    </row>
    <row r="2467" customFormat="1" s="82">
      <c r="O2467" s="89" t="n"/>
    </row>
    <row r="2468" customFormat="1" s="82">
      <c r="O2468" s="89" t="n"/>
    </row>
    <row r="2469" customFormat="1" s="82">
      <c r="O2469" s="89" t="n"/>
    </row>
    <row r="2470" customFormat="1" s="82">
      <c r="O2470" s="89" t="n"/>
    </row>
    <row r="2471" customFormat="1" s="82">
      <c r="O2471" s="89" t="n"/>
    </row>
    <row r="2472" customFormat="1" s="82">
      <c r="O2472" s="89" t="n"/>
    </row>
    <row r="2473" customFormat="1" s="82">
      <c r="O2473" s="89" t="n"/>
    </row>
    <row r="2474" customFormat="1" s="82">
      <c r="O2474" s="89" t="n"/>
    </row>
    <row r="2475" customFormat="1" s="82">
      <c r="O2475" s="89" t="n"/>
    </row>
    <row r="2476" customFormat="1" s="82">
      <c r="O2476" s="89" t="n"/>
    </row>
    <row r="2477" customFormat="1" s="82">
      <c r="O2477" s="89" t="n"/>
    </row>
    <row r="2478" customFormat="1" s="82">
      <c r="O2478" s="89" t="n"/>
    </row>
    <row r="2479" customFormat="1" s="82">
      <c r="O2479" s="89" t="n"/>
    </row>
    <row r="2480" customFormat="1" s="82">
      <c r="O2480" s="89" t="n"/>
    </row>
    <row r="2481" customFormat="1" s="82">
      <c r="O2481" s="89" t="n"/>
    </row>
    <row r="2482" customFormat="1" s="82">
      <c r="O2482" s="89" t="n"/>
    </row>
    <row r="2483" customFormat="1" s="82">
      <c r="O2483" s="89" t="n"/>
    </row>
    <row r="2484" customFormat="1" s="82">
      <c r="O2484" s="89" t="n"/>
    </row>
    <row r="2485" customFormat="1" s="82">
      <c r="O2485" s="89" t="n"/>
    </row>
    <row r="2486" customFormat="1" s="82">
      <c r="O2486" s="89" t="n"/>
    </row>
    <row r="2487" customFormat="1" s="82">
      <c r="O2487" s="89" t="n"/>
    </row>
    <row r="2488" customFormat="1" s="82">
      <c r="O2488" s="89" t="n"/>
    </row>
    <row r="2489" customFormat="1" s="82">
      <c r="O2489" s="89" t="n"/>
    </row>
    <row r="2490" customFormat="1" s="82">
      <c r="O2490" s="89" t="n"/>
    </row>
    <row r="2491" customFormat="1" s="82">
      <c r="O2491" s="89" t="n"/>
    </row>
    <row r="2492" customFormat="1" s="82">
      <c r="O2492" s="89" t="n"/>
    </row>
    <row r="2493" customFormat="1" s="82">
      <c r="O2493" s="89" t="n"/>
    </row>
    <row r="2494" customFormat="1" s="82">
      <c r="O2494" s="89" t="n"/>
    </row>
    <row r="2495" customFormat="1" s="82">
      <c r="O2495" s="89" t="n"/>
    </row>
    <row r="2496" customFormat="1" s="82">
      <c r="O2496" s="89" t="n"/>
    </row>
    <row r="2497" customFormat="1" s="82">
      <c r="O2497" s="89" t="n"/>
    </row>
    <row r="2498" customFormat="1" s="82">
      <c r="O2498" s="89" t="n"/>
    </row>
    <row r="2499" customFormat="1" s="82">
      <c r="O2499" s="89" t="n"/>
    </row>
    <row r="2500" customFormat="1" s="82">
      <c r="O2500" s="89" t="n"/>
    </row>
    <row r="2501" customFormat="1" s="82">
      <c r="O2501" s="89" t="n"/>
    </row>
    <row r="2502" customFormat="1" s="82">
      <c r="O2502" s="89" t="n"/>
    </row>
    <row r="2503" customFormat="1" s="82">
      <c r="O2503" s="89" t="n"/>
    </row>
    <row r="2504" customFormat="1" s="82">
      <c r="O2504" s="89" t="n"/>
    </row>
    <row r="2505" customFormat="1" s="82">
      <c r="O2505" s="89" t="n"/>
    </row>
    <row r="2506" customFormat="1" s="82">
      <c r="O2506" s="89" t="n"/>
    </row>
    <row r="2507" customFormat="1" s="82">
      <c r="O2507" s="89" t="n"/>
    </row>
    <row r="2508" customFormat="1" s="82">
      <c r="O2508" s="89" t="n"/>
    </row>
    <row r="2509" customFormat="1" s="82">
      <c r="O2509" s="89" t="n"/>
    </row>
    <row r="2510" customFormat="1" s="82">
      <c r="O2510" s="89" t="n"/>
    </row>
    <row r="2511" customFormat="1" s="82">
      <c r="O2511" s="89" t="n"/>
    </row>
    <row r="2512" customFormat="1" s="82">
      <c r="O2512" s="89" t="n"/>
    </row>
    <row r="2513" customFormat="1" s="82">
      <c r="O2513" s="89" t="n"/>
    </row>
    <row r="2514" customFormat="1" s="82">
      <c r="O2514" s="89" t="n"/>
    </row>
    <row r="2515" customFormat="1" s="82">
      <c r="O2515" s="89" t="n"/>
    </row>
    <row r="2516" customFormat="1" s="82">
      <c r="O2516" s="89" t="n"/>
    </row>
    <row r="2517" customFormat="1" s="82">
      <c r="O2517" s="89" t="n"/>
    </row>
    <row r="2518" customFormat="1" s="82">
      <c r="O2518" s="89" t="n"/>
    </row>
    <row r="2519" customFormat="1" s="82">
      <c r="O2519" s="89" t="n"/>
    </row>
    <row r="2520" customFormat="1" s="82">
      <c r="O2520" s="89" t="n"/>
    </row>
    <row r="2521" customFormat="1" s="82">
      <c r="O2521" s="89" t="n"/>
    </row>
    <row r="2522" customFormat="1" s="82">
      <c r="O2522" s="89" t="n"/>
    </row>
    <row r="2523" customFormat="1" s="82">
      <c r="O2523" s="89" t="n"/>
    </row>
    <row r="2524" customFormat="1" s="82">
      <c r="O2524" s="89" t="n"/>
    </row>
    <row r="2525" customFormat="1" s="82">
      <c r="O2525" s="89" t="n"/>
    </row>
    <row r="2526" customFormat="1" s="82">
      <c r="O2526" s="89" t="n"/>
    </row>
    <row r="2527" customFormat="1" s="82">
      <c r="O2527" s="89" t="n"/>
    </row>
    <row r="2528" customFormat="1" s="82">
      <c r="O2528" s="89" t="n"/>
    </row>
    <row r="2529" customFormat="1" s="82">
      <c r="O2529" s="89" t="n"/>
    </row>
    <row r="2530" customFormat="1" s="82">
      <c r="O2530" s="89" t="n"/>
    </row>
    <row r="2531" customFormat="1" s="82">
      <c r="O2531" s="89" t="n"/>
    </row>
    <row r="2532" customFormat="1" s="82">
      <c r="O2532" s="89" t="n"/>
    </row>
    <row r="2533" customFormat="1" s="82">
      <c r="O2533" s="89" t="n"/>
    </row>
    <row r="2534" customFormat="1" s="82">
      <c r="O2534" s="89" t="n"/>
    </row>
    <row r="2535" customFormat="1" s="82">
      <c r="O2535" s="89" t="n"/>
    </row>
    <row r="2536" customFormat="1" s="82">
      <c r="O2536" s="89" t="n"/>
    </row>
    <row r="2537" customFormat="1" s="82">
      <c r="O2537" s="89" t="n"/>
    </row>
    <row r="2538" customFormat="1" s="82">
      <c r="O2538" s="89" t="n"/>
    </row>
    <row r="2539" customFormat="1" s="82">
      <c r="O2539" s="89" t="n"/>
    </row>
    <row r="2540" customFormat="1" s="82">
      <c r="O2540" s="89" t="n"/>
    </row>
    <row r="2541" customFormat="1" s="82">
      <c r="O2541" s="89" t="n"/>
    </row>
    <row r="2542" customFormat="1" s="82">
      <c r="O2542" s="89" t="n"/>
    </row>
    <row r="2543" customFormat="1" s="82">
      <c r="O2543" s="89" t="n"/>
    </row>
    <row r="2544" customFormat="1" s="82">
      <c r="O2544" s="89" t="n"/>
    </row>
    <row r="2545" customFormat="1" s="82">
      <c r="O2545" s="89" t="n"/>
    </row>
    <row r="2546" customFormat="1" s="82">
      <c r="O2546" s="89" t="n"/>
    </row>
    <row r="2547" customFormat="1" s="82">
      <c r="O2547" s="89" t="n"/>
    </row>
    <row r="2548" customFormat="1" s="82">
      <c r="O2548" s="89" t="n"/>
    </row>
    <row r="2549" customFormat="1" s="82">
      <c r="O2549" s="89" t="n"/>
    </row>
    <row r="2550" customFormat="1" s="82">
      <c r="O2550" s="89" t="n"/>
    </row>
    <row r="2551" customFormat="1" s="82">
      <c r="O2551" s="89" t="n"/>
    </row>
    <row r="2552" customFormat="1" s="82">
      <c r="O2552" s="89" t="n"/>
    </row>
    <row r="2553" customFormat="1" s="82">
      <c r="O2553" s="89" t="n"/>
    </row>
    <row r="2554" customFormat="1" s="82">
      <c r="O2554" s="89" t="n"/>
    </row>
    <row r="2555" customFormat="1" s="82">
      <c r="O2555" s="89" t="n"/>
    </row>
    <row r="2556" customFormat="1" s="82">
      <c r="O2556" s="89" t="n"/>
    </row>
    <row r="2557" customFormat="1" s="82">
      <c r="O2557" s="89" t="n"/>
    </row>
    <row r="2558" customFormat="1" s="82">
      <c r="O2558" s="89" t="n"/>
    </row>
    <row r="2559" customFormat="1" s="82">
      <c r="O2559" s="89" t="n"/>
    </row>
    <row r="2560" customFormat="1" s="82">
      <c r="O2560" s="89" t="n"/>
    </row>
    <row r="2561" customFormat="1" s="82">
      <c r="O2561" s="89" t="n"/>
    </row>
    <row r="2562" customFormat="1" s="82">
      <c r="O2562" s="89" t="n"/>
    </row>
    <row r="2563" customFormat="1" s="82">
      <c r="O2563" s="89" t="n"/>
    </row>
    <row r="2564" customFormat="1" s="82">
      <c r="O2564" s="89" t="n"/>
    </row>
    <row r="2565" customFormat="1" s="82">
      <c r="O2565" s="89" t="n"/>
    </row>
    <row r="2566" customFormat="1" s="82">
      <c r="O2566" s="89" t="n"/>
    </row>
    <row r="2567" customFormat="1" s="82">
      <c r="O2567" s="89" t="n"/>
    </row>
    <row r="2568" customFormat="1" s="82">
      <c r="O2568" s="89" t="n"/>
    </row>
    <row r="2569" customFormat="1" s="82">
      <c r="O2569" s="89" t="n"/>
    </row>
    <row r="2570" customFormat="1" s="82">
      <c r="O2570" s="89" t="n"/>
    </row>
    <row r="2571" customFormat="1" s="82">
      <c r="O2571" s="89" t="n"/>
    </row>
    <row r="2572" customFormat="1" s="82">
      <c r="O2572" s="89" t="n"/>
    </row>
    <row r="2573" customFormat="1" s="82">
      <c r="O2573" s="89" t="n"/>
    </row>
    <row r="2574" customFormat="1" s="82">
      <c r="O2574" s="89" t="n"/>
    </row>
    <row r="2575" customFormat="1" s="82">
      <c r="O2575" s="89" t="n"/>
    </row>
    <row r="2576" customFormat="1" s="82">
      <c r="O2576" s="89" t="n"/>
    </row>
    <row r="2577" customFormat="1" s="82">
      <c r="O2577" s="89" t="n"/>
    </row>
    <row r="2578" customFormat="1" s="82">
      <c r="O2578" s="89" t="n"/>
    </row>
    <row r="2579" customFormat="1" s="82">
      <c r="O2579" s="89" t="n"/>
    </row>
    <row r="2580" customFormat="1" s="82">
      <c r="O2580" s="89" t="n"/>
    </row>
    <row r="2581" customFormat="1" s="82">
      <c r="O2581" s="89" t="n"/>
    </row>
    <row r="2582" customFormat="1" s="82">
      <c r="O2582" s="89" t="n"/>
    </row>
    <row r="2583" customFormat="1" s="82">
      <c r="O2583" s="89" t="n"/>
    </row>
    <row r="2584" customFormat="1" s="82">
      <c r="O2584" s="89" t="n"/>
    </row>
    <row r="2585" customFormat="1" s="82">
      <c r="O2585" s="89" t="n"/>
    </row>
    <row r="2586" customFormat="1" s="82">
      <c r="O2586" s="89" t="n"/>
    </row>
    <row r="2587" customFormat="1" s="82">
      <c r="O2587" s="89" t="n"/>
    </row>
    <row r="2588" customFormat="1" s="82">
      <c r="O2588" s="89" t="n"/>
    </row>
    <row r="2589" customFormat="1" s="82">
      <c r="O2589" s="89" t="n"/>
    </row>
    <row r="2590" customFormat="1" s="82">
      <c r="O2590" s="89" t="n"/>
    </row>
    <row r="2591" customFormat="1" s="82">
      <c r="O2591" s="89" t="n"/>
    </row>
    <row r="2592" customFormat="1" s="82">
      <c r="O2592" s="89" t="n"/>
    </row>
    <row r="2593" customFormat="1" s="82">
      <c r="O2593" s="89" t="n"/>
    </row>
    <row r="2594" customFormat="1" s="82">
      <c r="O2594" s="89" t="n"/>
    </row>
    <row r="2595" customFormat="1" s="82">
      <c r="O2595" s="89" t="n"/>
    </row>
    <row r="2596" customFormat="1" s="82">
      <c r="O2596" s="89" t="n"/>
    </row>
    <row r="2597" customFormat="1" s="82">
      <c r="O2597" s="89" t="n"/>
    </row>
    <row r="2598" customFormat="1" s="82">
      <c r="O2598" s="89" t="n"/>
    </row>
    <row r="2599" customFormat="1" s="82">
      <c r="O2599" s="89" t="n"/>
    </row>
    <row r="2600" customFormat="1" s="82">
      <c r="O2600" s="89" t="n"/>
    </row>
    <row r="2601" customFormat="1" s="82">
      <c r="O2601" s="89" t="n"/>
    </row>
    <row r="2602" customFormat="1" s="82">
      <c r="O2602" s="89" t="n"/>
    </row>
    <row r="2603" customFormat="1" s="82">
      <c r="O2603" s="89" t="n"/>
    </row>
    <row r="2604" customFormat="1" s="82">
      <c r="O2604" s="89" t="n"/>
    </row>
    <row r="2605" customFormat="1" s="82">
      <c r="O2605" s="89" t="n"/>
    </row>
    <row r="2606" customFormat="1" s="82">
      <c r="O2606" s="89" t="n"/>
    </row>
    <row r="2607" customFormat="1" s="82">
      <c r="O2607" s="89" t="n"/>
    </row>
    <row r="2608" customFormat="1" s="82">
      <c r="O2608" s="89" t="n"/>
    </row>
    <row r="2609" customFormat="1" s="82">
      <c r="O2609" s="89" t="n"/>
    </row>
    <row r="2610" customFormat="1" s="82">
      <c r="O2610" s="89" t="n"/>
    </row>
    <row r="2611" customFormat="1" s="82">
      <c r="O2611" s="89" t="n"/>
    </row>
    <row r="2612" customFormat="1" s="82">
      <c r="O2612" s="89" t="n"/>
    </row>
    <row r="2613" customFormat="1" s="82">
      <c r="O2613" s="89" t="n"/>
    </row>
    <row r="2614" customFormat="1" s="82">
      <c r="O2614" s="89" t="n"/>
    </row>
    <row r="2615" customFormat="1" s="82">
      <c r="O2615" s="89" t="n"/>
    </row>
    <row r="2616" customFormat="1" s="82">
      <c r="O2616" s="89" t="n"/>
    </row>
    <row r="2617" customFormat="1" s="82">
      <c r="O2617" s="89" t="n"/>
    </row>
    <row r="2618" customFormat="1" s="82">
      <c r="O2618" s="89" t="n"/>
    </row>
    <row r="2619" customFormat="1" s="82">
      <c r="O2619" s="89" t="n"/>
    </row>
    <row r="2620" customFormat="1" s="82">
      <c r="O2620" s="89" t="n"/>
    </row>
    <row r="2621" customFormat="1" s="82">
      <c r="O2621" s="89" t="n"/>
    </row>
    <row r="2622" customFormat="1" s="82">
      <c r="O2622" s="89" t="n"/>
    </row>
    <row r="2623" customFormat="1" s="82">
      <c r="O2623" s="89" t="n"/>
    </row>
    <row r="2624" customFormat="1" s="82">
      <c r="O2624" s="89" t="n"/>
    </row>
    <row r="2625" customFormat="1" s="82">
      <c r="O2625" s="89" t="n"/>
    </row>
    <row r="2626" customFormat="1" s="82">
      <c r="O2626" s="89" t="n"/>
    </row>
    <row r="2627" customFormat="1" s="82">
      <c r="O2627" s="89" t="n"/>
    </row>
    <row r="2628" customFormat="1" s="82">
      <c r="O2628" s="89" t="n"/>
    </row>
    <row r="2629" customFormat="1" s="82">
      <c r="O2629" s="89" t="n"/>
    </row>
    <row r="2630" customFormat="1" s="82">
      <c r="O2630" s="89" t="n"/>
    </row>
    <row r="2631" customFormat="1" s="82">
      <c r="O2631" s="89" t="n"/>
    </row>
    <row r="2632" customFormat="1" s="82">
      <c r="O2632" s="89" t="n"/>
    </row>
    <row r="2633" customFormat="1" s="82">
      <c r="O2633" s="89" t="n"/>
    </row>
    <row r="2634" customFormat="1" s="82">
      <c r="O2634" s="89" t="n"/>
    </row>
    <row r="2635" customFormat="1" s="82">
      <c r="O2635" s="89" t="n"/>
    </row>
    <row r="2636" customFormat="1" s="82">
      <c r="O2636" s="89" t="n"/>
    </row>
    <row r="2637" customFormat="1" s="82">
      <c r="O2637" s="89" t="n"/>
    </row>
    <row r="2638" customFormat="1" s="82">
      <c r="O2638" s="89" t="n"/>
    </row>
    <row r="2639" customFormat="1" s="82">
      <c r="O2639" s="89" t="n"/>
    </row>
    <row r="2640" customFormat="1" s="82">
      <c r="O2640" s="89" t="n"/>
    </row>
    <row r="2641" customFormat="1" s="82">
      <c r="O2641" s="89" t="n"/>
    </row>
    <row r="2642" customFormat="1" s="82">
      <c r="O2642" s="89" t="n"/>
    </row>
    <row r="2643" customFormat="1" s="82">
      <c r="O2643" s="89" t="n"/>
    </row>
    <row r="2644" customFormat="1" s="82">
      <c r="O2644" s="89" t="n"/>
    </row>
    <row r="2645" customFormat="1" s="82">
      <c r="O2645" s="89" t="n"/>
    </row>
    <row r="2646" customFormat="1" s="82">
      <c r="O2646" s="89" t="n"/>
    </row>
    <row r="2647" customFormat="1" s="82">
      <c r="O2647" s="89" t="n"/>
    </row>
    <row r="2648" customFormat="1" s="82">
      <c r="O2648" s="89" t="n"/>
    </row>
    <row r="2649" customFormat="1" s="82">
      <c r="O2649" s="89" t="n"/>
    </row>
    <row r="2650" customFormat="1" s="82">
      <c r="O2650" s="89" t="n"/>
    </row>
    <row r="2651" customFormat="1" s="82">
      <c r="O2651" s="89" t="n"/>
    </row>
    <row r="2652" customFormat="1" s="82">
      <c r="O2652" s="89" t="n"/>
    </row>
    <row r="2653" customFormat="1" s="82">
      <c r="O2653" s="89" t="n"/>
    </row>
    <row r="2654" customFormat="1" s="82">
      <c r="O2654" s="89" t="n"/>
    </row>
    <row r="2655" customFormat="1" s="82">
      <c r="O2655" s="89" t="n"/>
    </row>
    <row r="2656" customFormat="1" s="82">
      <c r="O2656" s="89" t="n"/>
    </row>
    <row r="2657" customFormat="1" s="82">
      <c r="O2657" s="89" t="n"/>
    </row>
    <row r="2658" customFormat="1" s="82">
      <c r="O2658" s="89" t="n"/>
    </row>
    <row r="2659" customFormat="1" s="82">
      <c r="O2659" s="89" t="n"/>
    </row>
    <row r="2660" customFormat="1" s="82">
      <c r="O2660" s="89" t="n"/>
    </row>
    <row r="2661" customFormat="1" s="82">
      <c r="O2661" s="89" t="n"/>
    </row>
    <row r="2662" customFormat="1" s="82">
      <c r="O2662" s="89" t="n"/>
    </row>
    <row r="2663" customFormat="1" s="82">
      <c r="O2663" s="89" t="n"/>
    </row>
    <row r="2664" customFormat="1" s="82">
      <c r="O2664" s="89" t="n"/>
    </row>
    <row r="2665" customFormat="1" s="82">
      <c r="O2665" s="89" t="n"/>
    </row>
    <row r="2666" customFormat="1" s="82">
      <c r="O2666" s="89" t="n"/>
    </row>
    <row r="2667" customFormat="1" s="82">
      <c r="O2667" s="89" t="n"/>
    </row>
    <row r="2668" customFormat="1" s="82">
      <c r="O2668" s="89" t="n"/>
    </row>
    <row r="2669" customFormat="1" s="82">
      <c r="O2669" s="89" t="n"/>
    </row>
    <row r="2670" customFormat="1" s="82">
      <c r="O2670" s="89" t="n"/>
    </row>
    <row r="2671" customFormat="1" s="82">
      <c r="O2671" s="89" t="n"/>
    </row>
    <row r="2672" customFormat="1" s="82">
      <c r="O2672" s="89" t="n"/>
    </row>
    <row r="2673" customFormat="1" s="82">
      <c r="O2673" s="89" t="n"/>
    </row>
    <row r="2674" customFormat="1" s="82">
      <c r="O2674" s="89" t="n"/>
    </row>
    <row r="2675" customFormat="1" s="82">
      <c r="O2675" s="89" t="n"/>
    </row>
    <row r="2676" customFormat="1" s="82">
      <c r="O2676" s="89" t="n"/>
    </row>
    <row r="2677" customFormat="1" s="82">
      <c r="O2677" s="89" t="n"/>
    </row>
    <row r="2678" customFormat="1" s="82">
      <c r="O2678" s="89" t="n"/>
    </row>
    <row r="2679" customFormat="1" s="82">
      <c r="O2679" s="89" t="n"/>
    </row>
    <row r="2680" customFormat="1" s="82">
      <c r="O2680" s="89" t="n"/>
    </row>
    <row r="2681" customFormat="1" s="82">
      <c r="O2681" s="89" t="n"/>
    </row>
    <row r="2682" customFormat="1" s="82">
      <c r="O2682" s="89" t="n"/>
    </row>
    <row r="2683" customFormat="1" s="82">
      <c r="O2683" s="89" t="n"/>
    </row>
    <row r="2684" customFormat="1" s="82">
      <c r="O2684" s="89" t="n"/>
    </row>
    <row r="2685" customFormat="1" s="82">
      <c r="O2685" s="89" t="n"/>
    </row>
    <row r="2686" customFormat="1" s="82">
      <c r="O2686" s="89" t="n"/>
    </row>
    <row r="2687" customFormat="1" s="82">
      <c r="O2687" s="89" t="n"/>
    </row>
    <row r="2688" customFormat="1" s="82">
      <c r="O2688" s="89" t="n"/>
    </row>
    <row r="2689" customFormat="1" s="82">
      <c r="O2689" s="89" t="n"/>
    </row>
    <row r="2690" customFormat="1" s="82">
      <c r="O2690" s="89" t="n"/>
    </row>
    <row r="2691" customFormat="1" s="82">
      <c r="O2691" s="89" t="n"/>
    </row>
    <row r="2692" customFormat="1" s="82">
      <c r="O2692" s="89" t="n"/>
    </row>
    <row r="2693" customFormat="1" s="82">
      <c r="O2693" s="89" t="n"/>
    </row>
    <row r="2694" customFormat="1" s="82">
      <c r="O2694" s="89" t="n"/>
    </row>
    <row r="2695" customFormat="1" s="82">
      <c r="O2695" s="89" t="n"/>
    </row>
    <row r="2696" customFormat="1" s="82">
      <c r="O2696" s="89" t="n"/>
    </row>
    <row r="2697" customFormat="1" s="82">
      <c r="O2697" s="89" t="n"/>
    </row>
    <row r="2698" customFormat="1" s="82">
      <c r="O2698" s="89" t="n"/>
    </row>
    <row r="2699" customFormat="1" s="82">
      <c r="O2699" s="89" t="n"/>
    </row>
    <row r="2700" customFormat="1" s="82">
      <c r="O2700" s="89" t="n"/>
    </row>
    <row r="2701" customFormat="1" s="82">
      <c r="O2701" s="89" t="n"/>
    </row>
    <row r="2702" customFormat="1" s="82">
      <c r="O2702" s="89" t="n"/>
    </row>
    <row r="2703" customFormat="1" s="82">
      <c r="O2703" s="89" t="n"/>
    </row>
    <row r="2704" customFormat="1" s="82">
      <c r="O2704" s="89" t="n"/>
    </row>
    <row r="2705" customFormat="1" s="82">
      <c r="O2705" s="89" t="n"/>
    </row>
    <row r="2706" customFormat="1" s="82">
      <c r="O2706" s="89" t="n"/>
    </row>
    <row r="2707" customFormat="1" s="82">
      <c r="O2707" s="89" t="n"/>
    </row>
    <row r="2708" customFormat="1" s="82">
      <c r="O2708" s="89" t="n"/>
    </row>
    <row r="2709" customFormat="1" s="82">
      <c r="O2709" s="89" t="n"/>
    </row>
    <row r="2710" customFormat="1" s="82">
      <c r="O2710" s="89" t="n"/>
    </row>
    <row r="2711" customFormat="1" s="82">
      <c r="O2711" s="89" t="n"/>
    </row>
    <row r="2712" customFormat="1" s="82">
      <c r="O2712" s="89" t="n"/>
    </row>
    <row r="2713" customFormat="1" s="82">
      <c r="O2713" s="89" t="n"/>
    </row>
    <row r="2714" customFormat="1" s="82">
      <c r="O2714" s="89" t="n"/>
    </row>
    <row r="2715" customFormat="1" s="82">
      <c r="O2715" s="89" t="n"/>
    </row>
    <row r="2716" customFormat="1" s="82">
      <c r="O2716" s="89" t="n"/>
    </row>
    <row r="2717" customFormat="1" s="82">
      <c r="O2717" s="89" t="n"/>
    </row>
    <row r="2718" customFormat="1" s="82">
      <c r="O2718" s="89" t="n"/>
    </row>
    <row r="2719" customFormat="1" s="82">
      <c r="O2719" s="89" t="n"/>
    </row>
    <row r="2720" customFormat="1" s="82">
      <c r="O2720" s="89" t="n"/>
    </row>
    <row r="2721" customFormat="1" s="82">
      <c r="O2721" s="89" t="n"/>
    </row>
    <row r="2722" customFormat="1" s="82">
      <c r="O2722" s="89" t="n"/>
    </row>
    <row r="2723" customFormat="1" s="82">
      <c r="O2723" s="89" t="n"/>
    </row>
    <row r="2724" customFormat="1" s="82">
      <c r="O2724" s="89" t="n"/>
    </row>
    <row r="2725" customFormat="1" s="82">
      <c r="O2725" s="89" t="n"/>
    </row>
    <row r="2726" customFormat="1" s="82">
      <c r="O2726" s="89" t="n"/>
    </row>
    <row r="2727" customFormat="1" s="82">
      <c r="O2727" s="89" t="n"/>
    </row>
    <row r="2728" customFormat="1" s="82">
      <c r="O2728" s="89" t="n"/>
    </row>
    <row r="2729" customFormat="1" s="82">
      <c r="O2729" s="89" t="n"/>
    </row>
    <row r="2730" customFormat="1" s="82">
      <c r="O2730" s="89" t="n"/>
    </row>
    <row r="2731" customFormat="1" s="82">
      <c r="O2731" s="89" t="n"/>
    </row>
    <row r="2732" customFormat="1" s="82">
      <c r="O2732" s="89" t="n"/>
    </row>
    <row r="2733" customFormat="1" s="82">
      <c r="O2733" s="89" t="n"/>
    </row>
    <row r="2734" customFormat="1" s="82">
      <c r="O2734" s="89" t="n"/>
    </row>
    <row r="2735" customFormat="1" s="82">
      <c r="O2735" s="89" t="n"/>
    </row>
    <row r="2736" customFormat="1" s="82">
      <c r="O2736" s="89" t="n"/>
    </row>
    <row r="2737" customFormat="1" s="82">
      <c r="O2737" s="89" t="n"/>
    </row>
    <row r="2738" customFormat="1" s="82">
      <c r="O2738" s="89" t="n"/>
    </row>
    <row r="2739" customFormat="1" s="82">
      <c r="O2739" s="89" t="n"/>
    </row>
    <row r="2740" customFormat="1" s="82">
      <c r="O2740" s="89" t="n"/>
    </row>
    <row r="2741" customFormat="1" s="82">
      <c r="O2741" s="89" t="n"/>
    </row>
    <row r="2742" customFormat="1" s="82">
      <c r="O2742" s="89" t="n"/>
    </row>
    <row r="2743" customFormat="1" s="82">
      <c r="O2743" s="89" t="n"/>
    </row>
    <row r="2744" customFormat="1" s="82">
      <c r="O2744" s="89" t="n"/>
    </row>
    <row r="2745" customFormat="1" s="82">
      <c r="O2745" s="89" t="n"/>
    </row>
    <row r="2746" customFormat="1" s="82">
      <c r="O2746" s="89" t="n"/>
    </row>
    <row r="2747" customFormat="1" s="82">
      <c r="O2747" s="89" t="n"/>
    </row>
    <row r="2748" customFormat="1" s="82">
      <c r="O2748" s="89" t="n"/>
    </row>
    <row r="2749" customFormat="1" s="82">
      <c r="O2749" s="89" t="n"/>
    </row>
    <row r="2750" customFormat="1" s="82">
      <c r="O2750" s="89" t="n"/>
    </row>
    <row r="2751" customFormat="1" s="82">
      <c r="O2751" s="89" t="n"/>
    </row>
    <row r="2752" customFormat="1" s="82">
      <c r="O2752" s="89" t="n"/>
    </row>
    <row r="2753" customFormat="1" s="82">
      <c r="O2753" s="89" t="n"/>
    </row>
    <row r="2754" customFormat="1" s="82">
      <c r="O2754" s="89" t="n"/>
    </row>
    <row r="2755" customFormat="1" s="82">
      <c r="O2755" s="89" t="n"/>
    </row>
    <row r="2756" customFormat="1" s="82">
      <c r="O2756" s="89" t="n"/>
    </row>
    <row r="2757" customFormat="1" s="82">
      <c r="O2757" s="89" t="n"/>
    </row>
    <row r="2758" customFormat="1" s="82">
      <c r="O2758" s="89" t="n"/>
    </row>
    <row r="2759" customFormat="1" s="82">
      <c r="O2759" s="89" t="n"/>
    </row>
    <row r="2760" customFormat="1" s="82">
      <c r="O2760" s="89" t="n"/>
    </row>
    <row r="2761" customFormat="1" s="82">
      <c r="O2761" s="89" t="n"/>
    </row>
    <row r="2762" customFormat="1" s="82">
      <c r="O2762" s="89" t="n"/>
    </row>
    <row r="2763" customFormat="1" s="82">
      <c r="O2763" s="89" t="n"/>
    </row>
    <row r="2764" customFormat="1" s="82">
      <c r="O2764" s="89" t="n"/>
    </row>
    <row r="2765" customFormat="1" s="82">
      <c r="O2765" s="89" t="n"/>
    </row>
    <row r="2766" customFormat="1" s="82">
      <c r="O2766" s="89" t="n"/>
    </row>
    <row r="2767" customFormat="1" s="82">
      <c r="O2767" s="89" t="n"/>
    </row>
    <row r="2768" customFormat="1" s="82">
      <c r="O2768" s="89" t="n"/>
    </row>
    <row r="2769" customFormat="1" s="82">
      <c r="O2769" s="89" t="n"/>
    </row>
    <row r="2770" customFormat="1" s="82">
      <c r="O2770" s="89" t="n"/>
    </row>
    <row r="2771" customFormat="1" s="82">
      <c r="O2771" s="89" t="n"/>
    </row>
    <row r="2772" customFormat="1" s="82">
      <c r="O2772" s="89" t="n"/>
    </row>
    <row r="2773" customFormat="1" s="82">
      <c r="O2773" s="89" t="n"/>
    </row>
    <row r="2774" customFormat="1" s="82">
      <c r="O2774" s="89" t="n"/>
    </row>
    <row r="2775" customFormat="1" s="82">
      <c r="O2775" s="89" t="n"/>
    </row>
    <row r="2776" customFormat="1" s="82">
      <c r="O2776" s="89" t="n"/>
    </row>
    <row r="2777" customFormat="1" s="82">
      <c r="O2777" s="89" t="n"/>
    </row>
    <row r="2778" customFormat="1" s="82">
      <c r="O2778" s="89" t="n"/>
    </row>
    <row r="2779" customFormat="1" s="82">
      <c r="O2779" s="89" t="n"/>
    </row>
    <row r="2780" customFormat="1" s="82">
      <c r="O2780" s="89" t="n"/>
    </row>
    <row r="2781" customFormat="1" s="82">
      <c r="O2781" s="89" t="n"/>
    </row>
    <row r="2782" customFormat="1" s="82">
      <c r="O2782" s="89" t="n"/>
    </row>
    <row r="2783" customFormat="1" s="82">
      <c r="O2783" s="89" t="n"/>
    </row>
    <row r="2784" customFormat="1" s="82">
      <c r="O2784" s="89" t="n"/>
    </row>
    <row r="2785" customFormat="1" s="82">
      <c r="O2785" s="89" t="n"/>
    </row>
    <row r="2786" customFormat="1" s="82">
      <c r="O2786" s="89" t="n"/>
    </row>
    <row r="2787" customFormat="1" s="82">
      <c r="O2787" s="89" t="n"/>
    </row>
    <row r="2788" customFormat="1" s="82">
      <c r="O2788" s="89" t="n"/>
    </row>
    <row r="2789" customFormat="1" s="82">
      <c r="O2789" s="89" t="n"/>
    </row>
    <row r="2790" customFormat="1" s="82">
      <c r="O2790" s="89" t="n"/>
    </row>
    <row r="2791" customFormat="1" s="82">
      <c r="O2791" s="89" t="n"/>
    </row>
    <row r="2792" customFormat="1" s="82">
      <c r="O2792" s="89" t="n"/>
    </row>
    <row r="2793" customFormat="1" s="82">
      <c r="O2793" s="89" t="n"/>
    </row>
    <row r="2794" customFormat="1" s="82">
      <c r="O2794" s="89" t="n"/>
    </row>
    <row r="2795" customFormat="1" s="82">
      <c r="O2795" s="89" t="n"/>
    </row>
    <row r="2796" customFormat="1" s="82">
      <c r="O2796" s="89" t="n"/>
    </row>
    <row r="2797" customFormat="1" s="82">
      <c r="O2797" s="89" t="n"/>
    </row>
    <row r="2798" customFormat="1" s="82">
      <c r="O2798" s="89" t="n"/>
    </row>
    <row r="2799" customFormat="1" s="82">
      <c r="O2799" s="89" t="n"/>
    </row>
    <row r="2800" customFormat="1" s="82">
      <c r="O2800" s="89" t="n"/>
    </row>
    <row r="2801" customFormat="1" s="82">
      <c r="O2801" s="89" t="n"/>
    </row>
    <row r="2802" customFormat="1" s="82">
      <c r="O2802" s="89" t="n"/>
    </row>
    <row r="2803" customFormat="1" s="82">
      <c r="O2803" s="89" t="n"/>
    </row>
    <row r="2804" customFormat="1" s="82">
      <c r="O2804" s="89" t="n"/>
    </row>
    <row r="2805" customFormat="1" s="82">
      <c r="O2805" s="89" t="n"/>
    </row>
    <row r="2806" customFormat="1" s="82">
      <c r="O2806" s="89" t="n"/>
    </row>
    <row r="2807" customFormat="1" s="82">
      <c r="O2807" s="89" t="n"/>
    </row>
    <row r="2808" customFormat="1" s="82">
      <c r="O2808" s="89" t="n"/>
    </row>
    <row r="2809" customFormat="1" s="82">
      <c r="O2809" s="89" t="n"/>
    </row>
    <row r="2810" customFormat="1" s="82">
      <c r="O2810" s="89" t="n"/>
    </row>
    <row r="2811" customFormat="1" s="82">
      <c r="O2811" s="89" t="n"/>
    </row>
    <row r="2812" customFormat="1" s="82">
      <c r="O2812" s="89" t="n"/>
    </row>
    <row r="2813" customFormat="1" s="82">
      <c r="O2813" s="89" t="n"/>
    </row>
    <row r="2814" customFormat="1" s="82">
      <c r="O2814" s="89" t="n"/>
    </row>
    <row r="2815" customFormat="1" s="82">
      <c r="O2815" s="89" t="n"/>
    </row>
    <row r="2816" customFormat="1" s="82">
      <c r="O2816" s="89" t="n"/>
    </row>
    <row r="2817" customFormat="1" s="82">
      <c r="O2817" s="89" t="n"/>
    </row>
    <row r="2818" customFormat="1" s="82">
      <c r="O2818" s="89" t="n"/>
    </row>
    <row r="2819" customFormat="1" s="82">
      <c r="O2819" s="89" t="n"/>
    </row>
    <row r="2820" customFormat="1" s="82">
      <c r="O2820" s="89" t="n"/>
    </row>
    <row r="2821" customFormat="1" s="82">
      <c r="O2821" s="89" t="n"/>
    </row>
    <row r="2822" customFormat="1" s="82">
      <c r="O2822" s="89" t="n"/>
    </row>
    <row r="2823" customFormat="1" s="82">
      <c r="O2823" s="89" t="n"/>
    </row>
    <row r="2824" customFormat="1" s="82">
      <c r="O2824" s="89" t="n"/>
    </row>
    <row r="2825" customFormat="1" s="82">
      <c r="O2825" s="89" t="n"/>
    </row>
    <row r="2826" customFormat="1" s="82">
      <c r="O2826" s="89" t="n"/>
    </row>
    <row r="2827" customFormat="1" s="82">
      <c r="O2827" s="89" t="n"/>
    </row>
    <row r="2828" customFormat="1" s="82">
      <c r="O2828" s="89" t="n"/>
    </row>
    <row r="2829" customFormat="1" s="82">
      <c r="O2829" s="89" t="n"/>
    </row>
    <row r="2830" customFormat="1" s="82">
      <c r="O2830" s="89" t="n"/>
    </row>
    <row r="2831" customFormat="1" s="82">
      <c r="O2831" s="89" t="n"/>
    </row>
    <row r="2832" customFormat="1" s="82">
      <c r="O2832" s="89" t="n"/>
    </row>
    <row r="2833" customFormat="1" s="82">
      <c r="O2833" s="89" t="n"/>
    </row>
    <row r="2834" customFormat="1" s="82">
      <c r="O2834" s="89" t="n"/>
    </row>
    <row r="2835" customFormat="1" s="82">
      <c r="O2835" s="89" t="n"/>
    </row>
    <row r="2836" customFormat="1" s="82">
      <c r="O2836" s="89" t="n"/>
    </row>
    <row r="2837" customFormat="1" s="82">
      <c r="O2837" s="89" t="n"/>
    </row>
    <row r="2838" customFormat="1" s="82">
      <c r="O2838" s="89" t="n"/>
    </row>
    <row r="2839" customFormat="1" s="82">
      <c r="O2839" s="89" t="n"/>
    </row>
    <row r="2840" customFormat="1" s="82">
      <c r="O2840" s="89" t="n"/>
    </row>
    <row r="2841" customFormat="1" s="82">
      <c r="O2841" s="89" t="n"/>
    </row>
    <row r="2842" customFormat="1" s="82">
      <c r="O2842" s="89" t="n"/>
    </row>
    <row r="2843" customFormat="1" s="82">
      <c r="O2843" s="89" t="n"/>
    </row>
    <row r="2844" customFormat="1" s="82">
      <c r="O2844" s="89" t="n"/>
    </row>
    <row r="2845" customFormat="1" s="82">
      <c r="O2845" s="89" t="n"/>
    </row>
    <row r="2846" customFormat="1" s="82">
      <c r="O2846" s="89" t="n"/>
    </row>
    <row r="2847" customFormat="1" s="82">
      <c r="O2847" s="89" t="n"/>
    </row>
    <row r="2848" customFormat="1" s="82">
      <c r="O2848" s="89" t="n"/>
    </row>
    <row r="2849" customFormat="1" s="82">
      <c r="O2849" s="89" t="n"/>
    </row>
    <row r="2850" customFormat="1" s="82">
      <c r="O2850" s="89" t="n"/>
    </row>
    <row r="2851" customFormat="1" s="82">
      <c r="O2851" s="89" t="n"/>
    </row>
    <row r="2852" customFormat="1" s="82">
      <c r="O2852" s="89" t="n"/>
    </row>
    <row r="2853" customFormat="1" s="82">
      <c r="O2853" s="89" t="n"/>
    </row>
    <row r="2854" customFormat="1" s="82">
      <c r="O2854" s="89" t="n"/>
    </row>
    <row r="2855" customFormat="1" s="82">
      <c r="O2855" s="89" t="n"/>
    </row>
    <row r="2856" customFormat="1" s="82">
      <c r="O2856" s="89" t="n"/>
    </row>
    <row r="2857" customFormat="1" s="82">
      <c r="O2857" s="89" t="n"/>
    </row>
    <row r="2858" customFormat="1" s="82">
      <c r="O2858" s="89" t="n"/>
    </row>
    <row r="2859" customFormat="1" s="82">
      <c r="O2859" s="89" t="n"/>
    </row>
    <row r="2860" customFormat="1" s="82">
      <c r="O2860" s="89" t="n"/>
    </row>
    <row r="2861" customFormat="1" s="82">
      <c r="O2861" s="89" t="n"/>
    </row>
    <row r="2862" customFormat="1" s="82">
      <c r="O2862" s="89" t="n"/>
    </row>
    <row r="2863" customFormat="1" s="82">
      <c r="O2863" s="89" t="n"/>
    </row>
    <row r="2864" customFormat="1" s="82">
      <c r="O2864" s="89" t="n"/>
    </row>
    <row r="2865" customFormat="1" s="82">
      <c r="O2865" s="89" t="n"/>
    </row>
    <row r="2866" customFormat="1" s="82">
      <c r="O2866" s="89" t="n"/>
    </row>
    <row r="2867" customFormat="1" s="82">
      <c r="O2867" s="89" t="n"/>
    </row>
    <row r="2868" customFormat="1" s="82">
      <c r="O2868" s="89" t="n"/>
    </row>
    <row r="2869" customFormat="1" s="82">
      <c r="O2869" s="89" t="n"/>
    </row>
    <row r="2870" customFormat="1" s="82">
      <c r="O2870" s="89" t="n"/>
    </row>
    <row r="2871" customFormat="1" s="82">
      <c r="O2871" s="89" t="n"/>
    </row>
    <row r="2872" customFormat="1" s="82">
      <c r="O2872" s="89" t="n"/>
    </row>
    <row r="2873" customFormat="1" s="82">
      <c r="O2873" s="89" t="n"/>
    </row>
    <row r="2874" customFormat="1" s="82">
      <c r="O2874" s="89" t="n"/>
    </row>
    <row r="2875" customFormat="1" s="82">
      <c r="O2875" s="89" t="n"/>
    </row>
    <row r="2876" customFormat="1" s="82">
      <c r="O2876" s="89" t="n"/>
    </row>
    <row r="2877" customFormat="1" s="82">
      <c r="O2877" s="89" t="n"/>
    </row>
    <row r="2878" customFormat="1" s="82">
      <c r="O2878" s="89" t="n"/>
    </row>
    <row r="2879" customFormat="1" s="82">
      <c r="O2879" s="89" t="n"/>
    </row>
    <row r="2880" customFormat="1" s="82">
      <c r="O2880" s="89" t="n"/>
    </row>
    <row r="2881" customFormat="1" s="82">
      <c r="O2881" s="89" t="n"/>
    </row>
    <row r="2882" customFormat="1" s="82">
      <c r="O2882" s="89" t="n"/>
    </row>
    <row r="2883" customFormat="1" s="82">
      <c r="O2883" s="89" t="n"/>
    </row>
    <row r="2884" customFormat="1" s="82">
      <c r="O2884" s="89" t="n"/>
    </row>
    <row r="2885" customFormat="1" s="82">
      <c r="O2885" s="89" t="n"/>
    </row>
    <row r="2886" customFormat="1" s="82">
      <c r="O2886" s="89" t="n"/>
    </row>
    <row r="2887" customFormat="1" s="82">
      <c r="O2887" s="89" t="n"/>
    </row>
    <row r="2888" customFormat="1" s="82">
      <c r="O2888" s="89" t="n"/>
    </row>
    <row r="2889" customFormat="1" s="82">
      <c r="O2889" s="89" t="n"/>
    </row>
    <row r="2890" customFormat="1" s="82">
      <c r="O2890" s="89" t="n"/>
    </row>
    <row r="2891" customFormat="1" s="82">
      <c r="O2891" s="89" t="n"/>
    </row>
    <row r="2892" customFormat="1" s="82">
      <c r="O2892" s="89" t="n"/>
    </row>
    <row r="2893" customFormat="1" s="82">
      <c r="O2893" s="89" t="n"/>
    </row>
    <row r="2894" customFormat="1" s="82">
      <c r="O2894" s="89" t="n"/>
    </row>
    <row r="2895" customFormat="1" s="82">
      <c r="O2895" s="89" t="n"/>
    </row>
    <row r="2896" customFormat="1" s="82">
      <c r="O2896" s="89" t="n"/>
    </row>
    <row r="2897" customFormat="1" s="82">
      <c r="O2897" s="89" t="n"/>
    </row>
    <row r="2898" customFormat="1" s="82">
      <c r="O2898" s="89" t="n"/>
    </row>
    <row r="2899" customFormat="1" s="82">
      <c r="O2899" s="89" t="n"/>
    </row>
    <row r="2900" customFormat="1" s="82">
      <c r="O2900" s="89" t="n"/>
    </row>
    <row r="2901" customFormat="1" s="82">
      <c r="O2901" s="89" t="n"/>
    </row>
    <row r="2902" customFormat="1" s="82">
      <c r="O2902" s="89" t="n"/>
    </row>
    <row r="2903" customFormat="1" s="82">
      <c r="O2903" s="89" t="n"/>
    </row>
    <row r="2904" customFormat="1" s="82">
      <c r="O2904" s="89" t="n"/>
    </row>
    <row r="2905" customFormat="1" s="82">
      <c r="O2905" s="89" t="n"/>
    </row>
    <row r="2906" customFormat="1" s="82">
      <c r="O2906" s="89" t="n"/>
    </row>
    <row r="2907" customFormat="1" s="82">
      <c r="O2907" s="89" t="n"/>
    </row>
    <row r="2908" customFormat="1" s="82">
      <c r="O2908" s="89" t="n"/>
    </row>
    <row r="2909" customFormat="1" s="82">
      <c r="O2909" s="89" t="n"/>
    </row>
    <row r="2910" customFormat="1" s="82">
      <c r="O2910" s="89" t="n"/>
    </row>
    <row r="2911" customFormat="1" s="82">
      <c r="O2911" s="89" t="n"/>
    </row>
    <row r="2912" customFormat="1" s="82">
      <c r="O2912" s="89" t="n"/>
    </row>
    <row r="2913" customFormat="1" s="82">
      <c r="O2913" s="89" t="n"/>
    </row>
    <row r="2914" customFormat="1" s="82">
      <c r="O2914" s="89" t="n"/>
    </row>
    <row r="2915" customFormat="1" s="82">
      <c r="O2915" s="89" t="n"/>
    </row>
    <row r="2916" customFormat="1" s="82">
      <c r="O2916" s="89" t="n"/>
    </row>
    <row r="2917" customFormat="1" s="82">
      <c r="O2917" s="89" t="n"/>
    </row>
    <row r="2918" customFormat="1" s="82">
      <c r="O2918" s="89" t="n"/>
    </row>
    <row r="2919" customFormat="1" s="82">
      <c r="O2919" s="89" t="n"/>
    </row>
    <row r="2920" customFormat="1" s="82">
      <c r="O2920" s="89" t="n"/>
    </row>
    <row r="2921" customFormat="1" s="82">
      <c r="O2921" s="89" t="n"/>
    </row>
    <row r="2922" customFormat="1" s="82">
      <c r="O2922" s="89" t="n"/>
    </row>
    <row r="2923" customFormat="1" s="82">
      <c r="O2923" s="89" t="n"/>
    </row>
    <row r="2924" customFormat="1" s="82">
      <c r="O2924" s="89" t="n"/>
    </row>
    <row r="2925" customFormat="1" s="82">
      <c r="O2925" s="89" t="n"/>
    </row>
    <row r="2926" customFormat="1" s="82">
      <c r="O2926" s="89" t="n"/>
    </row>
    <row r="2927" customFormat="1" s="82">
      <c r="O2927" s="89" t="n"/>
    </row>
    <row r="2928" customFormat="1" s="82">
      <c r="O2928" s="89" t="n"/>
    </row>
    <row r="2929" customFormat="1" s="82">
      <c r="O2929" s="89" t="n"/>
    </row>
    <row r="2930" customFormat="1" s="82">
      <c r="O2930" s="89" t="n"/>
    </row>
    <row r="2931" customFormat="1" s="82">
      <c r="O2931" s="89" t="n"/>
    </row>
    <row r="2932" customFormat="1" s="82">
      <c r="O2932" s="89" t="n"/>
    </row>
    <row r="2933" customFormat="1" s="82">
      <c r="O2933" s="89" t="n"/>
    </row>
    <row r="2934" customFormat="1" s="82">
      <c r="O2934" s="89" t="n"/>
    </row>
    <row r="2935" customFormat="1" s="82">
      <c r="O2935" s="89" t="n"/>
    </row>
    <row r="2936" customFormat="1" s="82">
      <c r="O2936" s="89" t="n"/>
    </row>
    <row r="2937" customFormat="1" s="82">
      <c r="O2937" s="89" t="n"/>
    </row>
    <row r="2938" customFormat="1" s="82">
      <c r="O2938" s="89" t="n"/>
    </row>
    <row r="2939" customFormat="1" s="82">
      <c r="O2939" s="89" t="n"/>
    </row>
    <row r="2940" customFormat="1" s="82">
      <c r="O2940" s="89" t="n"/>
    </row>
    <row r="2941" customFormat="1" s="82">
      <c r="O2941" s="89" t="n"/>
    </row>
    <row r="2942" customFormat="1" s="82">
      <c r="O2942" s="89" t="n"/>
    </row>
    <row r="2943" customFormat="1" s="82">
      <c r="O2943" s="89" t="n"/>
    </row>
    <row r="2944" customFormat="1" s="82">
      <c r="O2944" s="89" t="n"/>
    </row>
    <row r="2945" customFormat="1" s="82">
      <c r="O2945" s="89" t="n"/>
    </row>
    <row r="2946" customFormat="1" s="82">
      <c r="O2946" s="89" t="n"/>
    </row>
    <row r="2947" customFormat="1" s="82">
      <c r="O2947" s="89" t="n"/>
    </row>
    <row r="2948" customFormat="1" s="82">
      <c r="O2948" s="89" t="n"/>
    </row>
    <row r="2949" customFormat="1" s="82">
      <c r="O2949" s="89" t="n"/>
    </row>
    <row r="2950" customFormat="1" s="82">
      <c r="O2950" s="89" t="n"/>
    </row>
    <row r="2951" customFormat="1" s="82">
      <c r="O2951" s="89" t="n"/>
    </row>
    <row r="2952" customFormat="1" s="82">
      <c r="O2952" s="89" t="n"/>
    </row>
    <row r="2953" customFormat="1" s="82">
      <c r="O2953" s="89" t="n"/>
    </row>
    <row r="2954" customFormat="1" s="82">
      <c r="O2954" s="89" t="n"/>
    </row>
    <row r="2955" customFormat="1" s="82">
      <c r="O2955" s="89" t="n"/>
    </row>
    <row r="2956" customFormat="1" s="82">
      <c r="O2956" s="89" t="n"/>
    </row>
    <row r="2957" customFormat="1" s="82">
      <c r="O2957" s="89" t="n"/>
    </row>
    <row r="2958" customFormat="1" s="82">
      <c r="O2958" s="89" t="n"/>
    </row>
    <row r="2959" customFormat="1" s="82">
      <c r="O2959" s="89" t="n"/>
    </row>
    <row r="2960" customFormat="1" s="82">
      <c r="O2960" s="89" t="n"/>
    </row>
    <row r="2961" customFormat="1" s="82">
      <c r="O2961" s="89" t="n"/>
    </row>
    <row r="2962" customFormat="1" s="82">
      <c r="O2962" s="89" t="n"/>
    </row>
    <row r="2963" customFormat="1" s="82">
      <c r="O2963" s="89" t="n"/>
    </row>
    <row r="2964" customFormat="1" s="82">
      <c r="O2964" s="89" t="n"/>
    </row>
    <row r="2965" customFormat="1" s="82">
      <c r="O2965" s="89" t="n"/>
    </row>
    <row r="2966" customFormat="1" s="82">
      <c r="O2966" s="89" t="n"/>
    </row>
    <row r="2967" customFormat="1" s="82">
      <c r="O2967" s="89" t="n"/>
    </row>
    <row r="2968" customFormat="1" s="82">
      <c r="O2968" s="89" t="n"/>
    </row>
    <row r="2969" customFormat="1" s="82">
      <c r="O2969" s="89" t="n"/>
    </row>
    <row r="2970" customFormat="1" s="82">
      <c r="O2970" s="89" t="n"/>
    </row>
    <row r="2971" customFormat="1" s="82">
      <c r="O2971" s="89" t="n"/>
    </row>
    <row r="2972" customFormat="1" s="82">
      <c r="O2972" s="89" t="n"/>
    </row>
    <row r="2973" customFormat="1" s="82">
      <c r="O2973" s="89" t="n"/>
    </row>
    <row r="2974" customFormat="1" s="82">
      <c r="O2974" s="89" t="n"/>
    </row>
    <row r="2975" customFormat="1" s="82">
      <c r="O2975" s="89" t="n"/>
    </row>
    <row r="2976" customFormat="1" s="82">
      <c r="O2976" s="89" t="n"/>
    </row>
    <row r="2977" customFormat="1" s="82">
      <c r="O2977" s="89" t="n"/>
    </row>
    <row r="2978" customFormat="1" s="82">
      <c r="O2978" s="89" t="n"/>
    </row>
    <row r="2979" customFormat="1" s="82">
      <c r="O2979" s="89" t="n"/>
    </row>
    <row r="2980" customFormat="1" s="82">
      <c r="O2980" s="89" t="n"/>
    </row>
    <row r="2981" customFormat="1" s="82">
      <c r="O2981" s="89" t="n"/>
    </row>
    <row r="2982" customFormat="1" s="82">
      <c r="O2982" s="89" t="n"/>
    </row>
    <row r="2983" customFormat="1" s="82">
      <c r="O2983" s="89" t="n"/>
    </row>
    <row r="2984" customFormat="1" s="82">
      <c r="O2984" s="89" t="n"/>
    </row>
    <row r="2985" customFormat="1" s="82">
      <c r="O2985" s="89" t="n"/>
    </row>
    <row r="2986" customFormat="1" s="82">
      <c r="O2986" s="89" t="n"/>
    </row>
    <row r="2987" customFormat="1" s="82">
      <c r="O2987" s="89" t="n"/>
    </row>
    <row r="2988" customFormat="1" s="82">
      <c r="O2988" s="89" t="n"/>
    </row>
    <row r="2989" customFormat="1" s="82">
      <c r="O2989" s="89" t="n"/>
    </row>
    <row r="2990" customFormat="1" s="82">
      <c r="O2990" s="89" t="n"/>
    </row>
    <row r="2991" customFormat="1" s="82">
      <c r="O2991" s="89" t="n"/>
    </row>
    <row r="2992" customFormat="1" s="82">
      <c r="O2992" s="89" t="n"/>
    </row>
    <row r="2993" customFormat="1" s="82">
      <c r="O2993" s="89" t="n"/>
    </row>
    <row r="2994" customFormat="1" s="82">
      <c r="O2994" s="89" t="n"/>
    </row>
    <row r="2995" customFormat="1" s="82">
      <c r="O2995" s="89" t="n"/>
    </row>
    <row r="2996" customFormat="1" s="82">
      <c r="O2996" s="89" t="n"/>
    </row>
    <row r="2997" customFormat="1" s="82">
      <c r="O2997" s="89" t="n"/>
    </row>
    <row r="2998" customFormat="1" s="82">
      <c r="O2998" s="89" t="n"/>
    </row>
    <row r="2999" customFormat="1" s="82">
      <c r="O2999" s="89" t="n"/>
    </row>
    <row r="3000" customFormat="1" s="82">
      <c r="O3000" s="89" t="n"/>
    </row>
    <row r="3001" customFormat="1" s="82">
      <c r="O3001" s="89" t="n"/>
    </row>
    <row r="3002" customFormat="1" s="82">
      <c r="O3002" s="89" t="n"/>
    </row>
    <row r="3003" customFormat="1" s="82">
      <c r="O3003" s="89" t="n"/>
    </row>
    <row r="3004" customFormat="1" s="82">
      <c r="O3004" s="89" t="n"/>
    </row>
    <row r="3005" customFormat="1" s="82">
      <c r="O3005" s="89" t="n"/>
    </row>
    <row r="3006" customFormat="1" s="82">
      <c r="O3006" s="89" t="n"/>
    </row>
    <row r="3007" customFormat="1" s="82">
      <c r="O3007" s="89" t="n"/>
    </row>
    <row r="3008" customFormat="1" s="82">
      <c r="O3008" s="89" t="n"/>
    </row>
    <row r="3009" customFormat="1" s="82">
      <c r="O3009" s="89" t="n"/>
    </row>
    <row r="3010" customFormat="1" s="82">
      <c r="O3010" s="89" t="n"/>
    </row>
    <row r="3011" customFormat="1" s="82">
      <c r="O3011" s="89" t="n"/>
    </row>
    <row r="3012" customFormat="1" s="82">
      <c r="O3012" s="89" t="n"/>
    </row>
    <row r="3013" customFormat="1" s="82">
      <c r="O3013" s="89" t="n"/>
    </row>
    <row r="3014" customFormat="1" s="82">
      <c r="O3014" s="89" t="n"/>
    </row>
    <row r="3015" customFormat="1" s="82">
      <c r="O3015" s="89" t="n"/>
    </row>
    <row r="3016" customFormat="1" s="82">
      <c r="O3016" s="89" t="n"/>
    </row>
    <row r="3017" customFormat="1" s="82">
      <c r="O3017" s="89" t="n"/>
    </row>
    <row r="3018" customFormat="1" s="82">
      <c r="O3018" s="89" t="n"/>
    </row>
    <row r="3019" customFormat="1" s="82">
      <c r="O3019" s="89" t="n"/>
    </row>
    <row r="3020" customFormat="1" s="82">
      <c r="O3020" s="89" t="n"/>
    </row>
    <row r="3021" customFormat="1" s="82">
      <c r="O3021" s="89" t="n"/>
    </row>
    <row r="3022" customFormat="1" s="82">
      <c r="O3022" s="89" t="n"/>
    </row>
    <row r="3023" customFormat="1" s="82">
      <c r="O3023" s="89" t="n"/>
    </row>
    <row r="3024" customFormat="1" s="82">
      <c r="O3024" s="89" t="n"/>
    </row>
    <row r="3025" customFormat="1" s="82">
      <c r="O3025" s="89" t="n"/>
    </row>
    <row r="3026" customFormat="1" s="82">
      <c r="O3026" s="89" t="n"/>
    </row>
    <row r="3027" customFormat="1" s="82">
      <c r="O3027" s="89" t="n"/>
    </row>
    <row r="3028" customFormat="1" s="82">
      <c r="O3028" s="89" t="n"/>
    </row>
    <row r="3029" customFormat="1" s="82">
      <c r="O3029" s="89" t="n"/>
    </row>
    <row r="3030" customFormat="1" s="82">
      <c r="O3030" s="89" t="n"/>
    </row>
    <row r="3031" customFormat="1" s="82">
      <c r="O3031" s="89" t="n"/>
    </row>
    <row r="3032" customFormat="1" s="82">
      <c r="O3032" s="89" t="n"/>
    </row>
    <row r="3033" customFormat="1" s="82">
      <c r="O3033" s="89" t="n"/>
    </row>
    <row r="3034" customFormat="1" s="82">
      <c r="O3034" s="89" t="n"/>
    </row>
    <row r="3035" customFormat="1" s="82">
      <c r="O3035" s="89" t="n"/>
    </row>
    <row r="3036" customFormat="1" s="82">
      <c r="O3036" s="89" t="n"/>
    </row>
    <row r="3037" customFormat="1" s="82">
      <c r="O3037" s="89" t="n"/>
    </row>
    <row r="3038" customFormat="1" s="82">
      <c r="O3038" s="89" t="n"/>
    </row>
    <row r="3039" customFormat="1" s="82">
      <c r="O3039" s="89" t="n"/>
    </row>
    <row r="3040" customFormat="1" s="82">
      <c r="O3040" s="89" t="n"/>
    </row>
    <row r="3041" customFormat="1" s="82">
      <c r="O3041" s="89" t="n"/>
    </row>
    <row r="3042" customFormat="1" s="82">
      <c r="O3042" s="89" t="n"/>
    </row>
    <row r="3043" customFormat="1" s="82">
      <c r="O3043" s="89" t="n"/>
    </row>
    <row r="3044" customFormat="1" s="82">
      <c r="O3044" s="89" t="n"/>
    </row>
    <row r="3045" customFormat="1" s="82">
      <c r="O3045" s="89" t="n"/>
    </row>
    <row r="3046" customFormat="1" s="82">
      <c r="O3046" s="89" t="n"/>
    </row>
    <row r="3047" customFormat="1" s="82">
      <c r="O3047" s="89" t="n"/>
    </row>
    <row r="3048" customFormat="1" s="82">
      <c r="O3048" s="89" t="n"/>
    </row>
    <row r="3049" customFormat="1" s="82">
      <c r="O3049" s="89" t="n"/>
    </row>
    <row r="3050" customFormat="1" s="82">
      <c r="O3050" s="89" t="n"/>
    </row>
    <row r="3051" customFormat="1" s="82">
      <c r="O3051" s="89" t="n"/>
    </row>
    <row r="3052" customFormat="1" s="82">
      <c r="O3052" s="89" t="n"/>
    </row>
    <row r="3053" customFormat="1" s="82">
      <c r="O3053" s="89" t="n"/>
    </row>
    <row r="3054" customFormat="1" s="82">
      <c r="O3054" s="89" t="n"/>
    </row>
    <row r="3055" customFormat="1" s="82">
      <c r="O3055" s="89" t="n"/>
    </row>
    <row r="3056" customFormat="1" s="82">
      <c r="O3056" s="89" t="n"/>
    </row>
    <row r="3057" customFormat="1" s="82">
      <c r="O3057" s="89" t="n"/>
    </row>
    <row r="3058" customFormat="1" s="82">
      <c r="O3058" s="89" t="n"/>
    </row>
    <row r="3059" customFormat="1" s="82">
      <c r="O3059" s="89" t="n"/>
    </row>
    <row r="3060" customFormat="1" s="82">
      <c r="O3060" s="89" t="n"/>
    </row>
    <row r="3061" customFormat="1" s="82">
      <c r="O3061" s="89" t="n"/>
    </row>
    <row r="3062" customFormat="1" s="82">
      <c r="O3062" s="89" t="n"/>
    </row>
    <row r="3063" customFormat="1" s="82">
      <c r="O3063" s="89" t="n"/>
    </row>
    <row r="3064" customFormat="1" s="82">
      <c r="O3064" s="89" t="n"/>
    </row>
    <row r="3065" customFormat="1" s="82">
      <c r="O3065" s="89" t="n"/>
    </row>
    <row r="3066" customFormat="1" s="82">
      <c r="O3066" s="89" t="n"/>
    </row>
    <row r="3067" customFormat="1" s="82">
      <c r="O3067" s="89" t="n"/>
    </row>
    <row r="3068" customFormat="1" s="82">
      <c r="O3068" s="89" t="n"/>
    </row>
    <row r="3069" customFormat="1" s="82">
      <c r="O3069" s="89" t="n"/>
    </row>
    <row r="3070" customFormat="1" s="82">
      <c r="O3070" s="89" t="n"/>
    </row>
    <row r="3071" customFormat="1" s="82">
      <c r="O3071" s="89" t="n"/>
    </row>
    <row r="3072" customFormat="1" s="82">
      <c r="O3072" s="89" t="n"/>
    </row>
    <row r="3073" customFormat="1" s="82">
      <c r="O3073" s="89" t="n"/>
    </row>
    <row r="3074" customFormat="1" s="82">
      <c r="O3074" s="89" t="n"/>
    </row>
    <row r="3075" customFormat="1" s="82">
      <c r="O3075" s="89" t="n"/>
    </row>
    <row r="3076" customFormat="1" s="82">
      <c r="O3076" s="89" t="n"/>
    </row>
    <row r="3077" customFormat="1" s="82">
      <c r="O3077" s="89" t="n"/>
    </row>
    <row r="3078" customFormat="1" s="82">
      <c r="O3078" s="89" t="n"/>
    </row>
    <row r="3079" customFormat="1" s="82">
      <c r="O3079" s="89" t="n"/>
    </row>
    <row r="3080" customFormat="1" s="82">
      <c r="O3080" s="89" t="n"/>
    </row>
    <row r="3081" customFormat="1" s="82">
      <c r="O3081" s="89" t="n"/>
    </row>
    <row r="3082" customFormat="1" s="82">
      <c r="O3082" s="89" t="n"/>
    </row>
    <row r="3083" customFormat="1" s="82">
      <c r="O3083" s="89" t="n"/>
    </row>
    <row r="3084" customFormat="1" s="82">
      <c r="O3084" s="89" t="n"/>
    </row>
    <row r="3085" customFormat="1" s="82">
      <c r="O3085" s="89" t="n"/>
    </row>
    <row r="3086" customFormat="1" s="82">
      <c r="O3086" s="89" t="n"/>
    </row>
    <row r="3087" customFormat="1" s="82">
      <c r="O3087" s="89" t="n"/>
    </row>
    <row r="3088" customFormat="1" s="82">
      <c r="O3088" s="89" t="n"/>
    </row>
    <row r="3089" customFormat="1" s="82">
      <c r="O3089" s="89" t="n"/>
    </row>
    <row r="3090" customFormat="1" s="82">
      <c r="O3090" s="89" t="n"/>
    </row>
    <row r="3091" customFormat="1" s="82">
      <c r="O3091" s="89" t="n"/>
    </row>
    <row r="3092" customFormat="1" s="82">
      <c r="O3092" s="89" t="n"/>
    </row>
    <row r="3093" customFormat="1" s="82">
      <c r="O3093" s="89" t="n"/>
    </row>
    <row r="3094" customFormat="1" s="82">
      <c r="O3094" s="89" t="n"/>
    </row>
    <row r="3095" customFormat="1" s="82">
      <c r="O3095" s="89" t="n"/>
    </row>
    <row r="3096" customFormat="1" s="82">
      <c r="O3096" s="89" t="n"/>
    </row>
    <row r="3097" customFormat="1" s="82">
      <c r="O3097" s="89" t="n"/>
    </row>
    <row r="3098" customFormat="1" s="82">
      <c r="O3098" s="89" t="n"/>
    </row>
    <row r="3099" customFormat="1" s="82">
      <c r="O3099" s="89" t="n"/>
    </row>
    <row r="3100" customFormat="1" s="82">
      <c r="O3100" s="89" t="n"/>
    </row>
    <row r="3101" customFormat="1" s="82">
      <c r="O3101" s="89" t="n"/>
    </row>
    <row r="3102" customFormat="1" s="82">
      <c r="O3102" s="89" t="n"/>
    </row>
    <row r="3103" customFormat="1" s="82">
      <c r="O3103" s="89" t="n"/>
    </row>
    <row r="3104" customFormat="1" s="82">
      <c r="O3104" s="89" t="n"/>
    </row>
    <row r="3105" customFormat="1" s="82">
      <c r="O3105" s="89" t="n"/>
    </row>
    <row r="3106" customFormat="1" s="82">
      <c r="O3106" s="89" t="n"/>
    </row>
    <row r="3107" customFormat="1" s="82">
      <c r="O3107" s="89" t="n"/>
    </row>
    <row r="3108" customFormat="1" s="82">
      <c r="O3108" s="89" t="n"/>
    </row>
    <row r="3109" customFormat="1" s="82">
      <c r="O3109" s="89" t="n"/>
    </row>
    <row r="3110" customFormat="1" s="82">
      <c r="O3110" s="89" t="n"/>
    </row>
    <row r="3111" customFormat="1" s="82">
      <c r="O3111" s="89" t="n"/>
    </row>
    <row r="3112" customFormat="1" s="82">
      <c r="O3112" s="89" t="n"/>
    </row>
    <row r="3113" customFormat="1" s="82">
      <c r="O3113" s="89" t="n"/>
    </row>
    <row r="3114" customFormat="1" s="82">
      <c r="O3114" s="89" t="n"/>
    </row>
    <row r="3115" customFormat="1" s="82">
      <c r="O3115" s="89" t="n"/>
    </row>
    <row r="3116" customFormat="1" s="82">
      <c r="O3116" s="89" t="n"/>
    </row>
    <row r="3117" customFormat="1" s="82">
      <c r="O3117" s="89" t="n"/>
    </row>
    <row r="3118" customFormat="1" s="82">
      <c r="O3118" s="89" t="n"/>
    </row>
    <row r="3119" customFormat="1" s="82">
      <c r="O3119" s="89" t="n"/>
    </row>
    <row r="3120" customFormat="1" s="82">
      <c r="O3120" s="89" t="n"/>
    </row>
    <row r="3121" customFormat="1" s="82">
      <c r="O3121" s="89" t="n"/>
    </row>
    <row r="3122" customFormat="1" s="82">
      <c r="O3122" s="89" t="n"/>
    </row>
    <row r="3123" customFormat="1" s="82">
      <c r="O3123" s="89" t="n"/>
    </row>
    <row r="3124" customFormat="1" s="82">
      <c r="O3124" s="89" t="n"/>
    </row>
    <row r="3125" customFormat="1" s="82">
      <c r="O3125" s="89" t="n"/>
    </row>
    <row r="3126" customFormat="1" s="82">
      <c r="O3126" s="89" t="n"/>
    </row>
    <row r="3127" customFormat="1" s="82">
      <c r="O3127" s="89" t="n"/>
    </row>
    <row r="3128" customFormat="1" s="82">
      <c r="O3128" s="89" t="n"/>
    </row>
    <row r="3129" customFormat="1" s="82">
      <c r="O3129" s="89" t="n"/>
    </row>
    <row r="3130" customFormat="1" s="82">
      <c r="O3130" s="89" t="n"/>
    </row>
    <row r="3131" customFormat="1" s="82">
      <c r="O3131" s="89" t="n"/>
    </row>
    <row r="3132" customFormat="1" s="82">
      <c r="O3132" s="89" t="n"/>
    </row>
    <row r="3133" customFormat="1" s="82">
      <c r="O3133" s="89" t="n"/>
    </row>
    <row r="3134" customFormat="1" s="82">
      <c r="O3134" s="89" t="n"/>
    </row>
    <row r="3135" customFormat="1" s="82">
      <c r="O3135" s="89" t="n"/>
    </row>
    <row r="3136" customFormat="1" s="82">
      <c r="O3136" s="89" t="n"/>
    </row>
    <row r="3137" customFormat="1" s="82">
      <c r="O3137" s="89" t="n"/>
    </row>
    <row r="3138" customFormat="1" s="82">
      <c r="O3138" s="89" t="n"/>
    </row>
    <row r="3139" customFormat="1" s="82">
      <c r="O3139" s="89" t="n"/>
    </row>
    <row r="3140" customFormat="1" s="82">
      <c r="O3140" s="89" t="n"/>
    </row>
    <row r="3141" customFormat="1" s="82">
      <c r="O3141" s="89" t="n"/>
    </row>
    <row r="3142" customFormat="1" s="82">
      <c r="O3142" s="89" t="n"/>
    </row>
    <row r="3143" customFormat="1" s="82">
      <c r="O3143" s="89" t="n"/>
    </row>
    <row r="3144" customFormat="1" s="82">
      <c r="O3144" s="89" t="n"/>
    </row>
    <row r="3145" customFormat="1" s="82">
      <c r="O3145" s="89" t="n"/>
    </row>
    <row r="3146" customFormat="1" s="82">
      <c r="O3146" s="89" t="n"/>
    </row>
    <row r="3147" customFormat="1" s="82">
      <c r="O3147" s="89" t="n"/>
    </row>
    <row r="3148" customFormat="1" s="82">
      <c r="O3148" s="89" t="n"/>
    </row>
    <row r="3149" customFormat="1" s="82">
      <c r="O3149" s="89" t="n"/>
    </row>
    <row r="3150" customFormat="1" s="82">
      <c r="O3150" s="89" t="n"/>
    </row>
    <row r="3151" customFormat="1" s="82">
      <c r="O3151" s="89" t="n"/>
    </row>
    <row r="3152" customFormat="1" s="82">
      <c r="O3152" s="89" t="n"/>
    </row>
    <row r="3153" customFormat="1" s="82">
      <c r="O3153" s="89" t="n"/>
    </row>
    <row r="3154" customFormat="1" s="82">
      <c r="O3154" s="89" t="n"/>
    </row>
    <row r="3155" customFormat="1" s="82">
      <c r="O3155" s="89" t="n"/>
    </row>
    <row r="3156" customFormat="1" s="82">
      <c r="O3156" s="89" t="n"/>
    </row>
    <row r="3157" customFormat="1" s="82">
      <c r="O3157" s="89" t="n"/>
    </row>
    <row r="3158" customFormat="1" s="82">
      <c r="O3158" s="89" t="n"/>
    </row>
    <row r="3159" customFormat="1" s="82">
      <c r="O3159" s="89" t="n"/>
    </row>
    <row r="3160" customFormat="1" s="82">
      <c r="O3160" s="89" t="n"/>
    </row>
    <row r="3161" customFormat="1" s="82">
      <c r="O3161" s="89" t="n"/>
    </row>
    <row r="3162" customFormat="1" s="82">
      <c r="O3162" s="89" t="n"/>
    </row>
    <row r="3163" customFormat="1" s="82">
      <c r="O3163" s="89" t="n"/>
    </row>
    <row r="3164" customFormat="1" s="82">
      <c r="O3164" s="89" t="n"/>
    </row>
    <row r="3165" customFormat="1" s="82">
      <c r="O3165" s="89" t="n"/>
    </row>
    <row r="3166" customFormat="1" s="82">
      <c r="O3166" s="89" t="n"/>
    </row>
    <row r="3167" customFormat="1" s="82">
      <c r="O3167" s="89" t="n"/>
    </row>
    <row r="3168" customFormat="1" s="82">
      <c r="O3168" s="89" t="n"/>
    </row>
    <row r="3169" customFormat="1" s="82">
      <c r="O3169" s="89" t="n"/>
    </row>
    <row r="3170" customFormat="1" s="82">
      <c r="O3170" s="89" t="n"/>
    </row>
    <row r="3171" customFormat="1" s="82">
      <c r="O3171" s="89" t="n"/>
    </row>
    <row r="3172" customFormat="1" s="82">
      <c r="O3172" s="89" t="n"/>
    </row>
    <row r="3173" customFormat="1" s="82">
      <c r="O3173" s="89" t="n"/>
    </row>
    <row r="3174" customFormat="1" s="82">
      <c r="O3174" s="89" t="n"/>
    </row>
    <row r="3175" customFormat="1" s="82">
      <c r="O3175" s="89" t="n"/>
    </row>
    <row r="3176" customFormat="1" s="82">
      <c r="O3176" s="89" t="n"/>
    </row>
    <row r="3177" customFormat="1" s="82">
      <c r="O3177" s="89" t="n"/>
    </row>
    <row r="3178" customFormat="1" s="82">
      <c r="O3178" s="89" t="n"/>
    </row>
    <row r="3179" customFormat="1" s="82">
      <c r="O3179" s="89" t="n"/>
    </row>
    <row r="3180" customFormat="1" s="82">
      <c r="O3180" s="89" t="n"/>
    </row>
    <row r="3181" customFormat="1" s="82">
      <c r="O3181" s="89" t="n"/>
    </row>
    <row r="3182" customFormat="1" s="82">
      <c r="O3182" s="89" t="n"/>
    </row>
    <row r="3183" customFormat="1" s="82">
      <c r="O3183" s="89" t="n"/>
    </row>
    <row r="3184" customFormat="1" s="82">
      <c r="O3184" s="89" t="n"/>
    </row>
    <row r="3185" customFormat="1" s="82">
      <c r="O3185" s="89" t="n"/>
    </row>
    <row r="3186" customFormat="1" s="82">
      <c r="O3186" s="89" t="n"/>
    </row>
    <row r="3187" customFormat="1" s="82">
      <c r="O3187" s="89" t="n"/>
    </row>
    <row r="3188" customFormat="1" s="82">
      <c r="O3188" s="89" t="n"/>
    </row>
    <row r="3189" customFormat="1" s="82">
      <c r="O3189" s="89" t="n"/>
    </row>
    <row r="3190" customFormat="1" s="82">
      <c r="O3190" s="89" t="n"/>
    </row>
    <row r="3191" customFormat="1" s="82">
      <c r="O3191" s="89" t="n"/>
    </row>
    <row r="3192" customFormat="1" s="82">
      <c r="O3192" s="89" t="n"/>
    </row>
    <row r="3193" customFormat="1" s="82">
      <c r="O3193" s="89" t="n"/>
    </row>
    <row r="3194" customFormat="1" s="82">
      <c r="O3194" s="89" t="n"/>
    </row>
    <row r="3195" customFormat="1" s="82">
      <c r="O3195" s="89" t="n"/>
    </row>
    <row r="3196" customFormat="1" s="82">
      <c r="O3196" s="89" t="n"/>
    </row>
    <row r="3197" customFormat="1" s="82">
      <c r="O3197" s="89" t="n"/>
    </row>
    <row r="3198" customFormat="1" s="82">
      <c r="O3198" s="89" t="n"/>
    </row>
    <row r="3199" customFormat="1" s="82">
      <c r="O3199" s="89" t="n"/>
    </row>
    <row r="3200" customFormat="1" s="82">
      <c r="O3200" s="89" t="n"/>
    </row>
    <row r="3201" customFormat="1" s="82">
      <c r="O3201" s="89" t="n"/>
    </row>
    <row r="3202" customFormat="1" s="82">
      <c r="O3202" s="89" t="n"/>
    </row>
    <row r="3203" customFormat="1" s="82">
      <c r="O3203" s="89" t="n"/>
    </row>
    <row r="3204" customFormat="1" s="82">
      <c r="O3204" s="89" t="n"/>
    </row>
    <row r="3205" customFormat="1" s="82">
      <c r="O3205" s="89" t="n"/>
    </row>
    <row r="3206" customFormat="1" s="82">
      <c r="O3206" s="89" t="n"/>
    </row>
    <row r="3207" customFormat="1" s="82">
      <c r="O3207" s="89" t="n"/>
    </row>
    <row r="3208" customFormat="1" s="82">
      <c r="O3208" s="89" t="n"/>
    </row>
    <row r="3209" customFormat="1" s="82">
      <c r="O3209" s="89" t="n"/>
    </row>
    <row r="3210" customFormat="1" s="82">
      <c r="O3210" s="89" t="n"/>
    </row>
    <row r="3211" customFormat="1" s="82">
      <c r="O3211" s="89" t="n"/>
    </row>
    <row r="3212" customFormat="1" s="82">
      <c r="O3212" s="89" t="n"/>
    </row>
    <row r="3213" customFormat="1" s="82">
      <c r="O3213" s="89" t="n"/>
    </row>
    <row r="3214" customFormat="1" s="82">
      <c r="O3214" s="89" t="n"/>
    </row>
    <row r="3215" customFormat="1" s="82">
      <c r="O3215" s="89" t="n"/>
    </row>
    <row r="3216" customFormat="1" s="82">
      <c r="O3216" s="89" t="n"/>
    </row>
    <row r="3217" customFormat="1" s="82">
      <c r="O3217" s="89" t="n"/>
    </row>
    <row r="3218" customFormat="1" s="82">
      <c r="O3218" s="89" t="n"/>
    </row>
    <row r="3219" customFormat="1" s="82">
      <c r="O3219" s="89" t="n"/>
    </row>
    <row r="3220" customFormat="1" s="82">
      <c r="O3220" s="89" t="n"/>
    </row>
    <row r="3221" customFormat="1" s="82">
      <c r="O3221" s="89" t="n"/>
    </row>
    <row r="3222" customFormat="1" s="82">
      <c r="O3222" s="89" t="n"/>
    </row>
    <row r="3223" customFormat="1" s="82">
      <c r="O3223" s="89" t="n"/>
    </row>
    <row r="3224" customFormat="1" s="82">
      <c r="O3224" s="89" t="n"/>
    </row>
    <row r="3225" customFormat="1" s="82">
      <c r="O3225" s="89" t="n"/>
    </row>
    <row r="3226" customFormat="1" s="82">
      <c r="O3226" s="89" t="n"/>
    </row>
    <row r="3227" customFormat="1" s="82">
      <c r="O3227" s="89" t="n"/>
    </row>
    <row r="3228" customFormat="1" s="82">
      <c r="O3228" s="89" t="n"/>
    </row>
    <row r="3229" customFormat="1" s="82">
      <c r="O3229" s="89" t="n"/>
    </row>
    <row r="3230" customFormat="1" s="82">
      <c r="O3230" s="89" t="n"/>
    </row>
    <row r="3231" customFormat="1" s="82">
      <c r="O3231" s="89" t="n"/>
    </row>
    <row r="3232" customFormat="1" s="82">
      <c r="O3232" s="89" t="n"/>
    </row>
    <row r="3233" customFormat="1" s="82">
      <c r="O3233" s="89" t="n"/>
    </row>
    <row r="3234" customFormat="1" s="82">
      <c r="O3234" s="89" t="n"/>
    </row>
    <row r="3235" customFormat="1" s="82">
      <c r="O3235" s="89" t="n"/>
    </row>
    <row r="3236" customFormat="1" s="82">
      <c r="O3236" s="89" t="n"/>
    </row>
    <row r="3237" customFormat="1" s="82">
      <c r="O3237" s="89" t="n"/>
    </row>
    <row r="3238" customFormat="1" s="82">
      <c r="O3238" s="89" t="n"/>
    </row>
    <row r="3239" customFormat="1" s="82">
      <c r="O3239" s="89" t="n"/>
    </row>
    <row r="3240" customFormat="1" s="82">
      <c r="O3240" s="89" t="n"/>
    </row>
    <row r="3241" customFormat="1" s="82">
      <c r="O3241" s="89" t="n"/>
    </row>
    <row r="3242" customFormat="1" s="82">
      <c r="O3242" s="89" t="n"/>
    </row>
    <row r="3243" customFormat="1" s="82">
      <c r="O3243" s="89" t="n"/>
    </row>
    <row r="3244" customFormat="1" s="82">
      <c r="O3244" s="89" t="n"/>
    </row>
    <row r="3245" customFormat="1" s="82">
      <c r="O3245" s="89" t="n"/>
    </row>
    <row r="3246" customFormat="1" s="82">
      <c r="O3246" s="89" t="n"/>
    </row>
    <row r="3247" customFormat="1" s="82">
      <c r="O3247" s="89" t="n"/>
    </row>
    <row r="3248" customFormat="1" s="82">
      <c r="O3248" s="89" t="n"/>
    </row>
    <row r="3249" customFormat="1" s="82">
      <c r="O3249" s="89" t="n"/>
    </row>
    <row r="3250" customFormat="1" s="82">
      <c r="O3250" s="89" t="n"/>
    </row>
    <row r="3251" customFormat="1" s="82">
      <c r="O3251" s="89" t="n"/>
    </row>
    <row r="3252" customFormat="1" s="82">
      <c r="O3252" s="89" t="n"/>
    </row>
    <row r="3253" customFormat="1" s="82">
      <c r="O3253" s="89" t="n"/>
    </row>
    <row r="3254" customFormat="1" s="82">
      <c r="O3254" s="89" t="n"/>
    </row>
    <row r="3255" customFormat="1" s="82">
      <c r="O3255" s="89" t="n"/>
    </row>
    <row r="3256" customFormat="1" s="82">
      <c r="O3256" s="89" t="n"/>
    </row>
    <row r="3257" customFormat="1" s="82">
      <c r="O3257" s="89" t="n"/>
    </row>
    <row r="3258" customFormat="1" s="82">
      <c r="O3258" s="89" t="n"/>
    </row>
    <row r="3259" customFormat="1" s="82">
      <c r="O3259" s="89" t="n"/>
    </row>
    <row r="3260" customFormat="1" s="82">
      <c r="O3260" s="89" t="n"/>
    </row>
    <row r="3261" customFormat="1" s="82">
      <c r="O3261" s="89" t="n"/>
    </row>
    <row r="3262" customFormat="1" s="82">
      <c r="O3262" s="89" t="n"/>
    </row>
    <row r="3263" customFormat="1" s="82">
      <c r="O3263" s="89" t="n"/>
    </row>
    <row r="3264" customFormat="1" s="82">
      <c r="O3264" s="89" t="n"/>
    </row>
    <row r="3265" customFormat="1" s="82">
      <c r="O3265" s="89" t="n"/>
    </row>
    <row r="3266" customFormat="1" s="82">
      <c r="O3266" s="89" t="n"/>
    </row>
    <row r="3267" customFormat="1" s="82">
      <c r="O3267" s="89" t="n"/>
    </row>
    <row r="3268" customFormat="1" s="82">
      <c r="O3268" s="89" t="n"/>
    </row>
    <row r="3269" customFormat="1" s="82">
      <c r="O3269" s="89" t="n"/>
    </row>
    <row r="3270" customFormat="1" s="82">
      <c r="O3270" s="89" t="n"/>
    </row>
    <row r="3271" customFormat="1" s="82">
      <c r="O3271" s="89" t="n"/>
    </row>
    <row r="3272" customFormat="1" s="82">
      <c r="O3272" s="89" t="n"/>
    </row>
    <row r="3273" customFormat="1" s="82">
      <c r="O3273" s="89" t="n"/>
    </row>
    <row r="3274" customFormat="1" s="82">
      <c r="O3274" s="89" t="n"/>
    </row>
    <row r="3275" customFormat="1" s="82">
      <c r="O3275" s="89" t="n"/>
    </row>
    <row r="3276" customFormat="1" s="82">
      <c r="O3276" s="89" t="n"/>
    </row>
    <row r="3277" customFormat="1" s="82">
      <c r="O3277" s="89" t="n"/>
    </row>
    <row r="3278" customFormat="1" s="82">
      <c r="O3278" s="89" t="n"/>
    </row>
    <row r="3279" customFormat="1" s="82">
      <c r="O3279" s="89" t="n"/>
    </row>
    <row r="3280" customFormat="1" s="82">
      <c r="O3280" s="89" t="n"/>
    </row>
    <row r="3281" customFormat="1" s="82">
      <c r="O3281" s="89" t="n"/>
    </row>
    <row r="3282" customFormat="1" s="82">
      <c r="O3282" s="89" t="n"/>
    </row>
    <row r="3283" customFormat="1" s="82">
      <c r="O3283" s="89" t="n"/>
    </row>
    <row r="3284" customFormat="1" s="82">
      <c r="O3284" s="89" t="n"/>
    </row>
    <row r="3285" customFormat="1" s="82">
      <c r="O3285" s="89" t="n"/>
    </row>
    <row r="3286" customFormat="1" s="82">
      <c r="O3286" s="89" t="n"/>
    </row>
    <row r="3287" customFormat="1" s="82">
      <c r="O3287" s="89" t="n"/>
    </row>
    <row r="3288" customFormat="1" s="82">
      <c r="O3288" s="89" t="n"/>
    </row>
    <row r="3289" customFormat="1" s="82">
      <c r="O3289" s="89" t="n"/>
    </row>
    <row r="3290" customFormat="1" s="82">
      <c r="O3290" s="89" t="n"/>
    </row>
    <row r="3291" customFormat="1" s="82">
      <c r="O3291" s="89" t="n"/>
    </row>
    <row r="3292" customFormat="1" s="82">
      <c r="O3292" s="89" t="n"/>
    </row>
    <row r="3293" customFormat="1" s="82">
      <c r="O3293" s="89" t="n"/>
    </row>
    <row r="3294" customFormat="1" s="82">
      <c r="O3294" s="89" t="n"/>
    </row>
    <row r="3295" customFormat="1" s="82">
      <c r="O3295" s="89" t="n"/>
    </row>
    <row r="3296" customFormat="1" s="82">
      <c r="O3296" s="89" t="n"/>
    </row>
    <row r="3297" customFormat="1" s="82">
      <c r="O3297" s="89" t="n"/>
    </row>
    <row r="3298" customFormat="1" s="82">
      <c r="O3298" s="89" t="n"/>
    </row>
    <row r="3299" customFormat="1" s="82">
      <c r="O3299" s="89" t="n"/>
    </row>
    <row r="3300" customFormat="1" s="82">
      <c r="O3300" s="89" t="n"/>
    </row>
    <row r="3301" customFormat="1" s="82">
      <c r="O3301" s="89" t="n"/>
    </row>
    <row r="3302" customFormat="1" s="82">
      <c r="O3302" s="89" t="n"/>
    </row>
    <row r="3303" customFormat="1" s="82">
      <c r="O3303" s="89" t="n"/>
    </row>
    <row r="3304" customFormat="1" s="82">
      <c r="O3304" s="89" t="n"/>
    </row>
    <row r="3305" customFormat="1" s="82">
      <c r="O3305" s="89" t="n"/>
    </row>
    <row r="3306" customFormat="1" s="82">
      <c r="O3306" s="89" t="n"/>
    </row>
    <row r="3307" customFormat="1" s="82">
      <c r="O3307" s="89" t="n"/>
    </row>
    <row r="3308" customFormat="1" s="82">
      <c r="O3308" s="89" t="n"/>
    </row>
    <row r="3309" customFormat="1" s="82">
      <c r="O3309" s="89" t="n"/>
    </row>
    <row r="3310" customFormat="1" s="82">
      <c r="O3310" s="89" t="n"/>
    </row>
    <row r="3311" customFormat="1" s="82">
      <c r="O3311" s="89" t="n"/>
    </row>
    <row r="3312" customFormat="1" s="82">
      <c r="O3312" s="89" t="n"/>
    </row>
    <row r="3313" customFormat="1" s="82">
      <c r="O3313" s="89" t="n"/>
    </row>
    <row r="3314" customFormat="1" s="82">
      <c r="O3314" s="89" t="n"/>
    </row>
    <row r="3315" customFormat="1" s="82">
      <c r="O3315" s="89" t="n"/>
    </row>
    <row r="3316" customFormat="1" s="82">
      <c r="O3316" s="89" t="n"/>
    </row>
    <row r="3317" customFormat="1" s="82">
      <c r="O3317" s="89" t="n"/>
    </row>
    <row r="3318" customFormat="1" s="82">
      <c r="O3318" s="89" t="n"/>
    </row>
    <row r="3319" customFormat="1" s="82">
      <c r="O3319" s="89" t="n"/>
    </row>
    <row r="3320" customFormat="1" s="82">
      <c r="O3320" s="89" t="n"/>
    </row>
    <row r="3321" customFormat="1" s="82">
      <c r="O3321" s="89" t="n"/>
    </row>
    <row r="3322" customFormat="1" s="82">
      <c r="O3322" s="89" t="n"/>
    </row>
    <row r="3323" customFormat="1" s="82">
      <c r="O3323" s="89" t="n"/>
    </row>
    <row r="3324" customFormat="1" s="82">
      <c r="O3324" s="89" t="n"/>
    </row>
    <row r="3325" customFormat="1" s="82">
      <c r="O3325" s="89" t="n"/>
    </row>
    <row r="3326" customFormat="1" s="82">
      <c r="O3326" s="89" t="n"/>
    </row>
    <row r="3327" customFormat="1" s="82">
      <c r="O3327" s="89" t="n"/>
    </row>
    <row r="3328" customFormat="1" s="82">
      <c r="O3328" s="89" t="n"/>
    </row>
    <row r="3329" customFormat="1" s="82">
      <c r="O3329" s="89" t="n"/>
    </row>
    <row r="3330" customFormat="1" s="82">
      <c r="O3330" s="89" t="n"/>
    </row>
    <row r="3331" customFormat="1" s="82">
      <c r="O3331" s="89" t="n"/>
    </row>
    <row r="3332" customFormat="1" s="82">
      <c r="O3332" s="89" t="n"/>
    </row>
    <row r="3333" customFormat="1" s="82">
      <c r="O3333" s="89" t="n"/>
    </row>
    <row r="3334" customFormat="1" s="82">
      <c r="O3334" s="89" t="n"/>
    </row>
    <row r="3335" customFormat="1" s="82">
      <c r="O3335" s="89" t="n"/>
    </row>
    <row r="3336" customFormat="1" s="82">
      <c r="O3336" s="89" t="n"/>
    </row>
    <row r="3337" customFormat="1" s="82">
      <c r="O3337" s="89" t="n"/>
    </row>
    <row r="3338" customFormat="1" s="82">
      <c r="O3338" s="89" t="n"/>
    </row>
    <row r="3339" customFormat="1" s="82">
      <c r="O3339" s="89" t="n"/>
    </row>
    <row r="3340" customFormat="1" s="82">
      <c r="O3340" s="89" t="n"/>
    </row>
    <row r="3341" customFormat="1" s="82">
      <c r="O3341" s="89" t="n"/>
    </row>
    <row r="3342" customFormat="1" s="82">
      <c r="O3342" s="89" t="n"/>
    </row>
    <row r="3343" customFormat="1" s="82">
      <c r="O3343" s="89" t="n"/>
    </row>
    <row r="3344" customFormat="1" s="82">
      <c r="O3344" s="89" t="n"/>
    </row>
    <row r="3345" customFormat="1" s="82">
      <c r="O3345" s="89" t="n"/>
    </row>
    <row r="3346" customFormat="1" s="82">
      <c r="O3346" s="89" t="n"/>
    </row>
    <row r="3347" customFormat="1" s="82">
      <c r="O3347" s="89" t="n"/>
    </row>
    <row r="3348" customFormat="1" s="82">
      <c r="O3348" s="89" t="n"/>
    </row>
    <row r="3349" customFormat="1" s="82">
      <c r="O3349" s="89" t="n"/>
    </row>
    <row r="3350" customFormat="1" s="82">
      <c r="O3350" s="89" t="n"/>
    </row>
    <row r="3351" customFormat="1" s="82">
      <c r="O3351" s="89" t="n"/>
    </row>
    <row r="3352" customFormat="1" s="82">
      <c r="O3352" s="89" t="n"/>
    </row>
    <row r="3353" customFormat="1" s="82">
      <c r="O3353" s="89" t="n"/>
    </row>
    <row r="3354" customFormat="1" s="82">
      <c r="O3354" s="89" t="n"/>
    </row>
    <row r="3355" customFormat="1" s="82">
      <c r="O3355" s="89" t="n"/>
    </row>
    <row r="3356" customFormat="1" s="82">
      <c r="O3356" s="89" t="n"/>
    </row>
    <row r="3357" customFormat="1" s="82">
      <c r="O3357" s="89" t="n"/>
    </row>
    <row r="3358" customFormat="1" s="82">
      <c r="O3358" s="89" t="n"/>
    </row>
    <row r="3359" customFormat="1" s="82">
      <c r="O3359" s="89" t="n"/>
    </row>
    <row r="3360" customFormat="1" s="82">
      <c r="O3360" s="89" t="n"/>
    </row>
    <row r="3361" customFormat="1" s="82">
      <c r="O3361" s="89" t="n"/>
    </row>
    <row r="3362" customFormat="1" s="82">
      <c r="O3362" s="89" t="n"/>
    </row>
    <row r="3363" customFormat="1" s="82">
      <c r="O3363" s="89" t="n"/>
    </row>
    <row r="3364" customFormat="1" s="82">
      <c r="O3364" s="89" t="n"/>
    </row>
    <row r="3365" customFormat="1" s="82">
      <c r="O3365" s="89" t="n"/>
    </row>
    <row r="3366" customFormat="1" s="82">
      <c r="O3366" s="89" t="n"/>
    </row>
    <row r="3367" customFormat="1" s="82">
      <c r="O3367" s="89" t="n"/>
    </row>
    <row r="3368" customFormat="1" s="82">
      <c r="O3368" s="89" t="n"/>
    </row>
    <row r="3369" customFormat="1" s="82">
      <c r="O3369" s="89" t="n"/>
    </row>
    <row r="3370" customFormat="1" s="82">
      <c r="O3370" s="89" t="n"/>
    </row>
    <row r="3371" customFormat="1" s="82">
      <c r="O3371" s="89" t="n"/>
    </row>
    <row r="3372" customFormat="1" s="82">
      <c r="O3372" s="89" t="n"/>
    </row>
    <row r="3373" customFormat="1" s="82">
      <c r="O3373" s="89" t="n"/>
    </row>
    <row r="3374" customFormat="1" s="82">
      <c r="O3374" s="89" t="n"/>
    </row>
    <row r="3375" customFormat="1" s="82">
      <c r="O3375" s="89" t="n"/>
    </row>
    <row r="3376" customFormat="1" s="82">
      <c r="O3376" s="89" t="n"/>
    </row>
    <row r="3377" customFormat="1" s="82">
      <c r="O3377" s="89" t="n"/>
    </row>
    <row r="3378" customFormat="1" s="82">
      <c r="O3378" s="89" t="n"/>
    </row>
    <row r="3379" customFormat="1" s="82">
      <c r="O3379" s="89" t="n"/>
    </row>
    <row r="3380" customFormat="1" s="82">
      <c r="O3380" s="89" t="n"/>
    </row>
    <row r="3381" customFormat="1" s="82">
      <c r="O3381" s="89" t="n"/>
    </row>
    <row r="3382" customFormat="1" s="82">
      <c r="O3382" s="89" t="n"/>
    </row>
    <row r="3383" customFormat="1" s="82">
      <c r="O3383" s="89" t="n"/>
    </row>
    <row r="3384" customFormat="1" s="82">
      <c r="O3384" s="89" t="n"/>
    </row>
    <row r="3385" customFormat="1" s="82">
      <c r="O3385" s="89" t="n"/>
    </row>
    <row r="3386" customFormat="1" s="82">
      <c r="O3386" s="89" t="n"/>
    </row>
    <row r="3387" customFormat="1" s="82">
      <c r="O3387" s="89" t="n"/>
    </row>
    <row r="3388" customFormat="1" s="82">
      <c r="O3388" s="89" t="n"/>
    </row>
    <row r="3389" customFormat="1" s="82">
      <c r="O3389" s="89" t="n"/>
    </row>
    <row r="3390" customFormat="1" s="82">
      <c r="O3390" s="89" t="n"/>
    </row>
    <row r="3391" customFormat="1" s="82">
      <c r="O3391" s="89" t="n"/>
    </row>
    <row r="3392" customFormat="1" s="82">
      <c r="O3392" s="89" t="n"/>
    </row>
    <row r="3393" customFormat="1" s="82">
      <c r="O3393" s="89" t="n"/>
    </row>
    <row r="3394" customFormat="1" s="82">
      <c r="O3394" s="89" t="n"/>
    </row>
    <row r="3395" customFormat="1" s="82">
      <c r="O3395" s="89" t="n"/>
    </row>
    <row r="3396" customFormat="1" s="82">
      <c r="O3396" s="89" t="n"/>
    </row>
    <row r="3397" customFormat="1" s="82">
      <c r="O3397" s="89" t="n"/>
    </row>
    <row r="3398" customFormat="1" s="82">
      <c r="O3398" s="89" t="n"/>
    </row>
    <row r="3399" customFormat="1" s="82">
      <c r="O3399" s="89" t="n"/>
    </row>
    <row r="3400" customFormat="1" s="82">
      <c r="O3400" s="89" t="n"/>
    </row>
    <row r="3401" customFormat="1" s="82">
      <c r="O3401" s="89" t="n"/>
    </row>
    <row r="3402" customFormat="1" s="82">
      <c r="O3402" s="89" t="n"/>
    </row>
    <row r="3403" customFormat="1" s="82">
      <c r="O3403" s="89" t="n"/>
    </row>
    <row r="3404" customFormat="1" s="82">
      <c r="O3404" s="89" t="n"/>
    </row>
    <row r="3405" customFormat="1" s="82">
      <c r="O3405" s="89" t="n"/>
    </row>
    <row r="3406" customFormat="1" s="82">
      <c r="O3406" s="89" t="n"/>
    </row>
    <row r="3407" customFormat="1" s="82">
      <c r="O3407" s="89" t="n"/>
    </row>
    <row r="3408" customFormat="1" s="82">
      <c r="O3408" s="89" t="n"/>
    </row>
    <row r="3409" customFormat="1" s="82">
      <c r="O3409" s="89" t="n"/>
    </row>
    <row r="3410" customFormat="1" s="82">
      <c r="O3410" s="89" t="n"/>
    </row>
    <row r="3411" customFormat="1" s="82">
      <c r="O3411" s="89" t="n"/>
    </row>
    <row r="3412" customFormat="1" s="82">
      <c r="O3412" s="89" t="n"/>
    </row>
    <row r="3413" customFormat="1" s="82">
      <c r="O3413" s="89" t="n"/>
    </row>
    <row r="3414" customFormat="1" s="82">
      <c r="O3414" s="89" t="n"/>
    </row>
    <row r="3415" customFormat="1" s="82">
      <c r="O3415" s="89" t="n"/>
    </row>
    <row r="3416" customFormat="1" s="82">
      <c r="O3416" s="89" t="n"/>
    </row>
    <row r="3417" customFormat="1" s="82">
      <c r="O3417" s="89" t="n"/>
    </row>
    <row r="3418" customFormat="1" s="82">
      <c r="O3418" s="89" t="n"/>
    </row>
    <row r="3419" customFormat="1" s="82">
      <c r="O3419" s="89" t="n"/>
    </row>
    <row r="3420" customFormat="1" s="82">
      <c r="O3420" s="89" t="n"/>
    </row>
    <row r="3421" customFormat="1" s="82">
      <c r="O3421" s="89" t="n"/>
    </row>
    <row r="3422" customFormat="1" s="82">
      <c r="O3422" s="89" t="n"/>
    </row>
    <row r="3423" customFormat="1" s="82">
      <c r="O3423" s="89" t="n"/>
    </row>
    <row r="3424" customFormat="1" s="82">
      <c r="O3424" s="89" t="n"/>
    </row>
    <row r="3425" customFormat="1" s="82">
      <c r="O3425" s="89" t="n"/>
    </row>
    <row r="3426" customFormat="1" s="82">
      <c r="O3426" s="89" t="n"/>
    </row>
    <row r="3427" customFormat="1" s="82">
      <c r="O3427" s="89" t="n"/>
    </row>
    <row r="3428" customFormat="1" s="82">
      <c r="O3428" s="89" t="n"/>
    </row>
    <row r="3429" customFormat="1" s="82">
      <c r="O3429" s="89" t="n"/>
    </row>
    <row r="3430" customFormat="1" s="82">
      <c r="O3430" s="89" t="n"/>
    </row>
    <row r="3431" customFormat="1" s="82">
      <c r="O3431" s="89" t="n"/>
    </row>
    <row r="3432" customFormat="1" s="82">
      <c r="O3432" s="89" t="n"/>
    </row>
    <row r="3433" customFormat="1" s="82">
      <c r="O3433" s="89" t="n"/>
    </row>
    <row r="3434" customFormat="1" s="82">
      <c r="O3434" s="89" t="n"/>
    </row>
    <row r="3435" customFormat="1" s="82">
      <c r="O3435" s="89" t="n"/>
    </row>
    <row r="3436" customFormat="1" s="82">
      <c r="O3436" s="89" t="n"/>
    </row>
    <row r="3437" customFormat="1" s="82">
      <c r="O3437" s="89" t="n"/>
    </row>
    <row r="3438" customFormat="1" s="82">
      <c r="O3438" s="89" t="n"/>
    </row>
    <row r="3439" customFormat="1" s="82">
      <c r="O3439" s="89" t="n"/>
    </row>
    <row r="3440" customFormat="1" s="82">
      <c r="O3440" s="89" t="n"/>
    </row>
    <row r="3441" customFormat="1" s="82">
      <c r="O3441" s="89" t="n"/>
    </row>
    <row r="3442" customFormat="1" s="82">
      <c r="O3442" s="89" t="n"/>
    </row>
    <row r="3443" customFormat="1" s="82">
      <c r="O3443" s="89" t="n"/>
    </row>
    <row r="3444" customFormat="1" s="82">
      <c r="O3444" s="89" t="n"/>
    </row>
    <row r="3445" customFormat="1" s="82">
      <c r="O3445" s="89" t="n"/>
    </row>
    <row r="3446" customFormat="1" s="82">
      <c r="O3446" s="89" t="n"/>
    </row>
    <row r="3447" customFormat="1" s="82">
      <c r="O3447" s="89" t="n"/>
    </row>
    <row r="3448" customFormat="1" s="82">
      <c r="O3448" s="89" t="n"/>
    </row>
    <row r="3449" customFormat="1" s="82">
      <c r="O3449" s="89" t="n"/>
    </row>
    <row r="3450" customFormat="1" s="82">
      <c r="O3450" s="89" t="n"/>
    </row>
    <row r="3451" customFormat="1" s="82">
      <c r="O3451" s="89" t="n"/>
    </row>
    <row r="3452" customFormat="1" s="82">
      <c r="O3452" s="89" t="n"/>
    </row>
    <row r="3453" customFormat="1" s="82">
      <c r="O3453" s="89" t="n"/>
    </row>
    <row r="3454" customFormat="1" s="82">
      <c r="O3454" s="89" t="n"/>
    </row>
    <row r="3455" customFormat="1" s="82">
      <c r="O3455" s="89" t="n"/>
    </row>
    <row r="3456" customFormat="1" s="82">
      <c r="O3456" s="89" t="n"/>
    </row>
    <row r="3457" customFormat="1" s="82">
      <c r="O3457" s="89" t="n"/>
    </row>
    <row r="3458" customFormat="1" s="82">
      <c r="O3458" s="89" t="n"/>
    </row>
    <row r="3459" customFormat="1" s="82">
      <c r="O3459" s="89" t="n"/>
    </row>
    <row r="3460" customFormat="1" s="82">
      <c r="O3460" s="89" t="n"/>
    </row>
    <row r="3461" customFormat="1" s="82">
      <c r="O3461" s="89" t="n"/>
    </row>
    <row r="3462" customFormat="1" s="82">
      <c r="O3462" s="89" t="n"/>
    </row>
    <row r="3463" customFormat="1" s="82">
      <c r="O3463" s="89" t="n"/>
    </row>
    <row r="3464" customFormat="1" s="82">
      <c r="O3464" s="89" t="n"/>
    </row>
    <row r="3465" customFormat="1" s="82">
      <c r="O3465" s="89" t="n"/>
    </row>
    <row r="3466" customFormat="1" s="82">
      <c r="O3466" s="89" t="n"/>
    </row>
    <row r="3467" customFormat="1" s="82">
      <c r="O3467" s="89" t="n"/>
    </row>
    <row r="3468" customFormat="1" s="82">
      <c r="O3468" s="89" t="n"/>
    </row>
    <row r="3469" customFormat="1" s="82">
      <c r="O3469" s="89" t="n"/>
    </row>
    <row r="3470" customFormat="1" s="82">
      <c r="O3470" s="89" t="n"/>
    </row>
    <row r="3471" customFormat="1" s="82">
      <c r="O3471" s="89" t="n"/>
    </row>
    <row r="3472" customFormat="1" s="82">
      <c r="O3472" s="89" t="n"/>
    </row>
    <row r="3473" customFormat="1" s="82">
      <c r="O3473" s="89" t="n"/>
    </row>
    <row r="3474" customFormat="1" s="82">
      <c r="O3474" s="89" t="n"/>
    </row>
    <row r="3475" customFormat="1" s="82">
      <c r="O3475" s="89" t="n"/>
    </row>
    <row r="3476" customFormat="1" s="82">
      <c r="O3476" s="89" t="n"/>
    </row>
    <row r="3477" customFormat="1" s="82">
      <c r="O3477" s="89" t="n"/>
    </row>
    <row r="3478" customFormat="1" s="82">
      <c r="O3478" s="89" t="n"/>
    </row>
    <row r="3479" customFormat="1" s="82">
      <c r="O3479" s="89" t="n"/>
    </row>
    <row r="3480" customFormat="1" s="82">
      <c r="O3480" s="89" t="n"/>
    </row>
    <row r="3481" customFormat="1" s="82">
      <c r="O3481" s="89" t="n"/>
    </row>
    <row r="3482" customFormat="1" s="82">
      <c r="O3482" s="89" t="n"/>
    </row>
    <row r="3483" customFormat="1" s="82">
      <c r="O3483" s="89" t="n"/>
    </row>
    <row r="3484" customFormat="1" s="82">
      <c r="O3484" s="89" t="n"/>
    </row>
    <row r="3485" customFormat="1" s="82">
      <c r="O3485" s="89" t="n"/>
    </row>
    <row r="3486" customFormat="1" s="82">
      <c r="O3486" s="89" t="n"/>
    </row>
    <row r="3487" customFormat="1" s="82">
      <c r="O3487" s="89" t="n"/>
    </row>
    <row r="3488" customFormat="1" s="82">
      <c r="O3488" s="89" t="n"/>
    </row>
    <row r="3489" customFormat="1" s="82">
      <c r="O3489" s="89" t="n"/>
    </row>
    <row r="3490" customFormat="1" s="82">
      <c r="O3490" s="89" t="n"/>
    </row>
    <row r="3491" customFormat="1" s="82">
      <c r="O3491" s="89" t="n"/>
    </row>
    <row r="3492" customFormat="1" s="82">
      <c r="O3492" s="89" t="n"/>
    </row>
    <row r="3493" customFormat="1" s="82">
      <c r="O3493" s="89" t="n"/>
    </row>
    <row r="3494" customFormat="1" s="82">
      <c r="O3494" s="89" t="n"/>
    </row>
    <row r="3495" customFormat="1" s="82">
      <c r="O3495" s="89" t="n"/>
    </row>
    <row r="3496" customFormat="1" s="82">
      <c r="O3496" s="89" t="n"/>
    </row>
    <row r="3497" customFormat="1" s="82">
      <c r="O3497" s="89" t="n"/>
    </row>
    <row r="3498" customFormat="1" s="82">
      <c r="O3498" s="89" t="n"/>
    </row>
    <row r="3499" customFormat="1" s="82">
      <c r="O3499" s="89" t="n"/>
    </row>
    <row r="3500" customFormat="1" s="82">
      <c r="O3500" s="89" t="n"/>
    </row>
    <row r="3501" customFormat="1" s="82">
      <c r="O3501" s="89" t="n"/>
    </row>
    <row r="3502" customFormat="1" s="82">
      <c r="O3502" s="89" t="n"/>
    </row>
    <row r="3503" customFormat="1" s="82">
      <c r="O3503" s="89" t="n"/>
    </row>
    <row r="3504" customFormat="1" s="82">
      <c r="O3504" s="89" t="n"/>
    </row>
    <row r="3505" customFormat="1" s="82">
      <c r="O3505" s="89" t="n"/>
    </row>
    <row r="3506" customFormat="1" s="82">
      <c r="O3506" s="89" t="n"/>
    </row>
    <row r="3507" customFormat="1" s="82">
      <c r="O3507" s="89" t="n"/>
    </row>
    <row r="3508" customFormat="1" s="82">
      <c r="O3508" s="89" t="n"/>
    </row>
    <row r="3509" customFormat="1" s="82">
      <c r="O3509" s="89" t="n"/>
    </row>
    <row r="3510" customFormat="1" s="82">
      <c r="O3510" s="89" t="n"/>
    </row>
    <row r="3511" customFormat="1" s="82">
      <c r="O3511" s="89" t="n"/>
    </row>
    <row r="3512" customFormat="1" s="82">
      <c r="O3512" s="89" t="n"/>
    </row>
    <row r="3513" customFormat="1" s="82">
      <c r="O3513" s="89" t="n"/>
    </row>
    <row r="3514" customFormat="1" s="82">
      <c r="O3514" s="89" t="n"/>
    </row>
    <row r="3515" customFormat="1" s="82">
      <c r="O3515" s="89" t="n"/>
    </row>
    <row r="3516" customFormat="1" s="82">
      <c r="O3516" s="89" t="n"/>
    </row>
    <row r="3517" customFormat="1" s="82">
      <c r="O3517" s="89" t="n"/>
    </row>
    <row r="3518" customFormat="1" s="82">
      <c r="O3518" s="89" t="n"/>
    </row>
    <row r="3519" customFormat="1" s="82">
      <c r="O3519" s="89" t="n"/>
    </row>
    <row r="3520" customFormat="1" s="82">
      <c r="O3520" s="89" t="n"/>
    </row>
    <row r="3521" customFormat="1" s="82">
      <c r="O3521" s="89" t="n"/>
    </row>
    <row r="3522" customFormat="1" s="82">
      <c r="O3522" s="89" t="n"/>
    </row>
    <row r="3523" customFormat="1" s="82">
      <c r="O3523" s="89" t="n"/>
    </row>
    <row r="3524" customFormat="1" s="82">
      <c r="O3524" s="89" t="n"/>
    </row>
    <row r="3525" customFormat="1" s="82">
      <c r="O3525" s="89" t="n"/>
    </row>
    <row r="3526" customFormat="1" s="82">
      <c r="O3526" s="89" t="n"/>
    </row>
    <row r="3527" customFormat="1" s="82">
      <c r="O3527" s="89" t="n"/>
    </row>
    <row r="3528" customFormat="1" s="82">
      <c r="O3528" s="89" t="n"/>
    </row>
    <row r="3529" customFormat="1" s="82">
      <c r="O3529" s="89" t="n"/>
    </row>
    <row r="3530" customFormat="1" s="82">
      <c r="O3530" s="89" t="n"/>
    </row>
    <row r="3531" customFormat="1" s="82">
      <c r="O3531" s="89" t="n"/>
    </row>
    <row r="3532" customFormat="1" s="82">
      <c r="O3532" s="89" t="n"/>
    </row>
    <row r="3533" customFormat="1" s="82">
      <c r="O3533" s="89" t="n"/>
    </row>
    <row r="3534" customFormat="1" s="82">
      <c r="O3534" s="89" t="n"/>
    </row>
    <row r="3535" customFormat="1" s="82">
      <c r="O3535" s="89" t="n"/>
    </row>
    <row r="3536" customFormat="1" s="82">
      <c r="O3536" s="89" t="n"/>
    </row>
    <row r="3537" customFormat="1" s="82">
      <c r="O3537" s="89" t="n"/>
    </row>
    <row r="3538" customFormat="1" s="82">
      <c r="O3538" s="89" t="n"/>
    </row>
    <row r="3539" customFormat="1" s="82">
      <c r="O3539" s="89" t="n"/>
    </row>
    <row r="3540" customFormat="1" s="82">
      <c r="O3540" s="89" t="n"/>
    </row>
    <row r="3541" customFormat="1" s="82">
      <c r="O3541" s="89" t="n"/>
    </row>
    <row r="3542" customFormat="1" s="82">
      <c r="O3542" s="89" t="n"/>
    </row>
    <row r="3543" customFormat="1" s="82">
      <c r="O3543" s="89" t="n"/>
    </row>
    <row r="3544" customFormat="1" s="82">
      <c r="O3544" s="89" t="n"/>
    </row>
    <row r="3545" customFormat="1" s="82">
      <c r="O3545" s="89" t="n"/>
    </row>
    <row r="3546" customFormat="1" s="82">
      <c r="O3546" s="89" t="n"/>
    </row>
    <row r="3547" customFormat="1" s="82">
      <c r="O3547" s="89" t="n"/>
    </row>
    <row r="3548" customFormat="1" s="82">
      <c r="O3548" s="89" t="n"/>
    </row>
    <row r="3549" customFormat="1" s="82">
      <c r="O3549" s="89" t="n"/>
    </row>
    <row r="3550" customFormat="1" s="82">
      <c r="O3550" s="89" t="n"/>
    </row>
    <row r="3551" customFormat="1" s="82">
      <c r="O3551" s="89" t="n"/>
    </row>
    <row r="3552" customFormat="1" s="82">
      <c r="O3552" s="89" t="n"/>
    </row>
    <row r="3553" customFormat="1" s="82">
      <c r="O3553" s="89" t="n"/>
    </row>
    <row r="3554" customFormat="1" s="82">
      <c r="O3554" s="89" t="n"/>
    </row>
    <row r="3555" customFormat="1" s="82">
      <c r="O3555" s="89" t="n"/>
    </row>
    <row r="3556" customFormat="1" s="82">
      <c r="O3556" s="89" t="n"/>
    </row>
    <row r="3557" customFormat="1" s="82">
      <c r="O3557" s="89" t="n"/>
    </row>
    <row r="3558" customFormat="1" s="82">
      <c r="O3558" s="89" t="n"/>
    </row>
    <row r="3559" customFormat="1" s="82">
      <c r="O3559" s="89" t="n"/>
    </row>
    <row r="3560" customFormat="1" s="82">
      <c r="O3560" s="89" t="n"/>
    </row>
    <row r="3561" customFormat="1" s="82">
      <c r="O3561" s="89" t="n"/>
    </row>
    <row r="3562" customFormat="1" s="82">
      <c r="O3562" s="89" t="n"/>
    </row>
    <row r="3563" customFormat="1" s="82">
      <c r="O3563" s="89" t="n"/>
    </row>
    <row r="3564" customFormat="1" s="82">
      <c r="O3564" s="89" t="n"/>
    </row>
    <row r="3565" customFormat="1" s="82">
      <c r="O3565" s="89" t="n"/>
    </row>
    <row r="3566" customFormat="1" s="82">
      <c r="O3566" s="89" t="n"/>
    </row>
    <row r="3567" customFormat="1" s="82">
      <c r="O3567" s="89" t="n"/>
    </row>
    <row r="3568" customFormat="1" s="82">
      <c r="O3568" s="89" t="n"/>
    </row>
    <row r="3569" customFormat="1" s="82">
      <c r="O3569" s="89" t="n"/>
    </row>
    <row r="3570" customFormat="1" s="82">
      <c r="O3570" s="89" t="n"/>
    </row>
    <row r="3571" customFormat="1" s="82">
      <c r="O3571" s="89" t="n"/>
    </row>
    <row r="3572" customFormat="1" s="82">
      <c r="O3572" s="89" t="n"/>
    </row>
    <row r="3573" customFormat="1" s="82">
      <c r="O3573" s="89" t="n"/>
    </row>
    <row r="3574" customFormat="1" s="82">
      <c r="O3574" s="89" t="n"/>
    </row>
    <row r="3575" customFormat="1" s="82">
      <c r="O3575" s="89" t="n"/>
    </row>
    <row r="3576" customFormat="1" s="82">
      <c r="O3576" s="89" t="n"/>
    </row>
    <row r="3577" customFormat="1" s="82">
      <c r="O3577" s="89" t="n"/>
    </row>
    <row r="3578" customFormat="1" s="82">
      <c r="O3578" s="89" t="n"/>
    </row>
    <row r="3579" customFormat="1" s="82">
      <c r="O3579" s="89" t="n"/>
    </row>
    <row r="3580" customFormat="1" s="82">
      <c r="O3580" s="89" t="n"/>
    </row>
    <row r="3581" customFormat="1" s="82">
      <c r="O3581" s="89" t="n"/>
    </row>
    <row r="3582" customFormat="1" s="82">
      <c r="O3582" s="89" t="n"/>
    </row>
    <row r="3583" customFormat="1" s="82">
      <c r="O3583" s="89" t="n"/>
    </row>
    <row r="3584" customFormat="1" s="82">
      <c r="O3584" s="89" t="n"/>
    </row>
    <row r="3585" customFormat="1" s="82">
      <c r="O3585" s="89" t="n"/>
    </row>
    <row r="3586" customFormat="1" s="82">
      <c r="O3586" s="89" t="n"/>
    </row>
    <row r="3587" customFormat="1" s="82">
      <c r="O3587" s="89" t="n"/>
    </row>
    <row r="3588" customFormat="1" s="82">
      <c r="O3588" s="89" t="n"/>
    </row>
    <row r="3589" customFormat="1" s="82">
      <c r="O3589" s="89" t="n"/>
    </row>
    <row r="3590" customFormat="1" s="82">
      <c r="O3590" s="89" t="n"/>
    </row>
    <row r="3591" customFormat="1" s="82">
      <c r="O3591" s="89" t="n"/>
    </row>
    <row r="3592" customFormat="1" s="82">
      <c r="O3592" s="89" t="n"/>
    </row>
    <row r="3593" customFormat="1" s="82">
      <c r="O3593" s="89" t="n"/>
    </row>
    <row r="3594" customFormat="1" s="82">
      <c r="O3594" s="89" t="n"/>
    </row>
    <row r="3595" customFormat="1" s="82">
      <c r="O3595" s="89" t="n"/>
    </row>
    <row r="3596" customFormat="1" s="82">
      <c r="O3596" s="89" t="n"/>
    </row>
    <row r="3597" customFormat="1" s="82">
      <c r="O3597" s="89" t="n"/>
    </row>
    <row r="3598" customFormat="1" s="82">
      <c r="O3598" s="89" t="n"/>
    </row>
    <row r="3599" customFormat="1" s="82">
      <c r="O3599" s="89" t="n"/>
    </row>
    <row r="3600" customFormat="1" s="82">
      <c r="O3600" s="89" t="n"/>
    </row>
    <row r="3601" customFormat="1" s="82">
      <c r="O3601" s="89" t="n"/>
    </row>
    <row r="3602" customFormat="1" s="82">
      <c r="O3602" s="89" t="n"/>
    </row>
    <row r="3603" customFormat="1" s="82">
      <c r="O3603" s="89" t="n"/>
    </row>
    <row r="3604" customFormat="1" s="82">
      <c r="O3604" s="89" t="n"/>
    </row>
    <row r="3605" customFormat="1" s="82">
      <c r="O3605" s="89" t="n"/>
    </row>
    <row r="3606" customFormat="1" s="82">
      <c r="O3606" s="89" t="n"/>
    </row>
    <row r="3607" customFormat="1" s="82">
      <c r="O3607" s="89" t="n"/>
    </row>
    <row r="3608" customFormat="1" s="82">
      <c r="O3608" s="89" t="n"/>
    </row>
    <row r="3609" customFormat="1" s="82">
      <c r="O3609" s="89" t="n"/>
    </row>
    <row r="3610" customFormat="1" s="82">
      <c r="O3610" s="89" t="n"/>
    </row>
    <row r="3611" customFormat="1" s="82">
      <c r="O3611" s="89" t="n"/>
    </row>
    <row r="3612" customFormat="1" s="82">
      <c r="O3612" s="89" t="n"/>
    </row>
    <row r="3613" customFormat="1" s="82">
      <c r="O3613" s="89" t="n"/>
    </row>
    <row r="3614" customFormat="1" s="82">
      <c r="O3614" s="89" t="n"/>
    </row>
    <row r="3615" customFormat="1" s="82">
      <c r="O3615" s="89" t="n"/>
    </row>
    <row r="3616" customFormat="1" s="82">
      <c r="O3616" s="89" t="n"/>
    </row>
    <row r="3617" customFormat="1" s="82">
      <c r="O3617" s="89" t="n"/>
    </row>
    <row r="3618" customFormat="1" s="82">
      <c r="O3618" s="89" t="n"/>
    </row>
    <row r="3619" customFormat="1" s="82">
      <c r="O3619" s="89" t="n"/>
    </row>
    <row r="3620" customFormat="1" s="82">
      <c r="O3620" s="89" t="n"/>
    </row>
    <row r="3621" customFormat="1" s="82">
      <c r="O3621" s="89" t="n"/>
    </row>
    <row r="3622" customFormat="1" s="82">
      <c r="O3622" s="89" t="n"/>
    </row>
    <row r="3623" customFormat="1" s="82">
      <c r="O3623" s="89" t="n"/>
    </row>
    <row r="3624" customFormat="1" s="82">
      <c r="O3624" s="89" t="n"/>
    </row>
    <row r="3625" customFormat="1" s="82">
      <c r="O3625" s="89" t="n"/>
    </row>
    <row r="3626" customFormat="1" s="82">
      <c r="O3626" s="89" t="n"/>
    </row>
    <row r="3627" customFormat="1" s="82">
      <c r="O3627" s="89" t="n"/>
    </row>
    <row r="3628" customFormat="1" s="82">
      <c r="O3628" s="89" t="n"/>
    </row>
    <row r="3629" customFormat="1" s="82">
      <c r="O3629" s="89" t="n"/>
    </row>
    <row r="3630" customFormat="1" s="82">
      <c r="O3630" s="89" t="n"/>
    </row>
    <row r="3631" customFormat="1" s="82">
      <c r="O3631" s="89" t="n"/>
    </row>
    <row r="3632" customFormat="1" s="82">
      <c r="O3632" s="89" t="n"/>
    </row>
    <row r="3633" customFormat="1" s="82">
      <c r="O3633" s="89" t="n"/>
    </row>
    <row r="3634" customFormat="1" s="82">
      <c r="O3634" s="89" t="n"/>
    </row>
    <row r="3635" customFormat="1" s="82">
      <c r="O3635" s="89" t="n"/>
    </row>
    <row r="3636" customFormat="1" s="82">
      <c r="O3636" s="89" t="n"/>
    </row>
    <row r="3637" customFormat="1" s="82">
      <c r="O3637" s="89" t="n"/>
    </row>
    <row r="3638" customFormat="1" s="82">
      <c r="O3638" s="89" t="n"/>
    </row>
    <row r="3639" customFormat="1" s="82">
      <c r="O3639" s="89" t="n"/>
    </row>
    <row r="3640" customFormat="1" s="82">
      <c r="O3640" s="89" t="n"/>
    </row>
    <row r="3641" customFormat="1" s="82">
      <c r="O3641" s="89" t="n"/>
    </row>
    <row r="3642" customFormat="1" s="82">
      <c r="O3642" s="89" t="n"/>
    </row>
    <row r="3643" customFormat="1" s="82">
      <c r="O3643" s="89" t="n"/>
    </row>
    <row r="3644" customFormat="1" s="82">
      <c r="O3644" s="89" t="n"/>
    </row>
    <row r="3645" customFormat="1" s="82">
      <c r="O3645" s="89" t="n"/>
    </row>
    <row r="3646" customFormat="1" s="82">
      <c r="O3646" s="89" t="n"/>
    </row>
    <row r="3647" customFormat="1" s="82">
      <c r="O3647" s="89" t="n"/>
    </row>
    <row r="3648" customFormat="1" s="82">
      <c r="O3648" s="89" t="n"/>
    </row>
    <row r="3649" customFormat="1" s="82">
      <c r="O3649" s="89" t="n"/>
    </row>
    <row r="3650" customFormat="1" s="82">
      <c r="O3650" s="89" t="n"/>
    </row>
    <row r="3651" customFormat="1" s="82">
      <c r="O3651" s="89" t="n"/>
    </row>
    <row r="3652" customFormat="1" s="82">
      <c r="O3652" s="89" t="n"/>
    </row>
    <row r="3653" customFormat="1" s="82">
      <c r="O3653" s="89" t="n"/>
    </row>
    <row r="3654" customFormat="1" s="82">
      <c r="O3654" s="89" t="n"/>
    </row>
    <row r="3655" customFormat="1" s="82">
      <c r="O3655" s="89" t="n"/>
    </row>
    <row r="3656" customFormat="1" s="82">
      <c r="O3656" s="89" t="n"/>
    </row>
    <row r="3657" customFormat="1" s="82">
      <c r="O3657" s="89" t="n"/>
    </row>
    <row r="3658" customFormat="1" s="82">
      <c r="O3658" s="89" t="n"/>
    </row>
    <row r="3659" customFormat="1" s="82">
      <c r="O3659" s="89" t="n"/>
    </row>
    <row r="3660" customFormat="1" s="82">
      <c r="O3660" s="89" t="n"/>
    </row>
    <row r="3661" customFormat="1" s="82">
      <c r="O3661" s="89" t="n"/>
    </row>
    <row r="3662" customFormat="1" s="82">
      <c r="O3662" s="89" t="n"/>
    </row>
    <row r="3663" customFormat="1" s="82">
      <c r="O3663" s="89" t="n"/>
    </row>
    <row r="3664" customFormat="1" s="82">
      <c r="O3664" s="89" t="n"/>
    </row>
    <row r="3665" customFormat="1" s="82">
      <c r="O3665" s="89" t="n"/>
    </row>
    <row r="3666" customFormat="1" s="82">
      <c r="O3666" s="89" t="n"/>
    </row>
    <row r="3667" customFormat="1" s="82">
      <c r="O3667" s="89" t="n"/>
    </row>
    <row r="3668" customFormat="1" s="82">
      <c r="O3668" s="89" t="n"/>
    </row>
    <row r="3669" customFormat="1" s="82">
      <c r="O3669" s="89" t="n"/>
    </row>
    <row r="3670" customFormat="1" s="82">
      <c r="O3670" s="89" t="n"/>
    </row>
    <row r="3671" customFormat="1" s="82">
      <c r="O3671" s="89" t="n"/>
    </row>
    <row r="3672" customFormat="1" s="82">
      <c r="O3672" s="89" t="n"/>
    </row>
    <row r="3673" customFormat="1" s="82">
      <c r="O3673" s="89" t="n"/>
    </row>
    <row r="3674" customFormat="1" s="82">
      <c r="O3674" s="89" t="n"/>
    </row>
    <row r="3675" customFormat="1" s="82">
      <c r="O3675" s="89" t="n"/>
    </row>
    <row r="3676" customFormat="1" s="82">
      <c r="O3676" s="89" t="n"/>
    </row>
    <row r="3677" customFormat="1" s="82">
      <c r="O3677" s="89" t="n"/>
    </row>
    <row r="3678" customFormat="1" s="82">
      <c r="O3678" s="89" t="n"/>
    </row>
    <row r="3679" customFormat="1" s="82">
      <c r="O3679" s="89" t="n"/>
    </row>
    <row r="3680" customFormat="1" s="82">
      <c r="O3680" s="89" t="n"/>
    </row>
    <row r="3681" customFormat="1" s="82">
      <c r="O3681" s="89" t="n"/>
    </row>
    <row r="3682" customFormat="1" s="82">
      <c r="O3682" s="89" t="n"/>
    </row>
    <row r="3683" customFormat="1" s="82">
      <c r="O3683" s="89" t="n"/>
    </row>
    <row r="3684" customFormat="1" s="82">
      <c r="O3684" s="89" t="n"/>
    </row>
    <row r="3685" customFormat="1" s="82">
      <c r="O3685" s="89" t="n"/>
    </row>
    <row r="3686" customFormat="1" s="82">
      <c r="O3686" s="89" t="n"/>
    </row>
    <row r="3687" customFormat="1" s="82">
      <c r="O3687" s="89" t="n"/>
    </row>
    <row r="3688" customFormat="1" s="82">
      <c r="O3688" s="89" t="n"/>
    </row>
    <row r="3689" customFormat="1" s="82">
      <c r="O3689" s="89" t="n"/>
    </row>
    <row r="3690" customFormat="1" s="82">
      <c r="O3690" s="89" t="n"/>
    </row>
    <row r="3691" customFormat="1" s="82">
      <c r="O3691" s="89" t="n"/>
    </row>
    <row r="3692" customFormat="1" s="82">
      <c r="O3692" s="89" t="n"/>
    </row>
    <row r="3693" customFormat="1" s="82">
      <c r="O3693" s="89" t="n"/>
    </row>
    <row r="3694" customFormat="1" s="82">
      <c r="O3694" s="89" t="n"/>
    </row>
    <row r="3695" customFormat="1" s="82">
      <c r="O3695" s="89" t="n"/>
    </row>
    <row r="3696" customFormat="1" s="82">
      <c r="O3696" s="89" t="n"/>
    </row>
    <row r="3697" customFormat="1" s="82">
      <c r="O3697" s="89" t="n"/>
    </row>
    <row r="3698" customFormat="1" s="82">
      <c r="O3698" s="89" t="n"/>
    </row>
    <row r="3699" customFormat="1" s="82">
      <c r="O3699" s="89" t="n"/>
    </row>
    <row r="3700" customFormat="1" s="82">
      <c r="O3700" s="89" t="n"/>
    </row>
    <row r="3701" customFormat="1" s="82">
      <c r="O3701" s="89" t="n"/>
    </row>
    <row r="3702" customFormat="1" s="82">
      <c r="O3702" s="89" t="n"/>
    </row>
    <row r="3703" customFormat="1" s="82">
      <c r="O3703" s="89" t="n"/>
    </row>
    <row r="3704" customFormat="1" s="82">
      <c r="O3704" s="89" t="n"/>
    </row>
    <row r="3705" customFormat="1" s="82">
      <c r="O3705" s="89" t="n"/>
    </row>
    <row r="3706" customFormat="1" s="82">
      <c r="O3706" s="89" t="n"/>
    </row>
    <row r="3707" customFormat="1" s="82">
      <c r="O3707" s="89" t="n"/>
    </row>
    <row r="3708" customFormat="1" s="82">
      <c r="O3708" s="89" t="n"/>
    </row>
    <row r="3709" customFormat="1" s="82">
      <c r="O3709" s="89" t="n"/>
    </row>
    <row r="3710" customFormat="1" s="82">
      <c r="O3710" s="89" t="n"/>
    </row>
    <row r="3711" customFormat="1" s="82">
      <c r="O3711" s="89" t="n"/>
    </row>
    <row r="3712" customFormat="1" s="82">
      <c r="O3712" s="89" t="n"/>
    </row>
    <row r="3713" customFormat="1" s="82">
      <c r="O3713" s="89" t="n"/>
    </row>
    <row r="3714" customFormat="1" s="82">
      <c r="O3714" s="89" t="n"/>
    </row>
    <row r="3715" customFormat="1" s="82">
      <c r="O3715" s="89" t="n"/>
    </row>
    <row r="3716" customFormat="1" s="82">
      <c r="O3716" s="89" t="n"/>
    </row>
    <row r="3717" customFormat="1" s="82">
      <c r="O3717" s="89" t="n"/>
    </row>
    <row r="3718" customFormat="1" s="82">
      <c r="O3718" s="89" t="n"/>
    </row>
    <row r="3719" customFormat="1" s="82">
      <c r="O3719" s="89" t="n"/>
    </row>
    <row r="3720" customFormat="1" s="82">
      <c r="O3720" s="89" t="n"/>
    </row>
    <row r="3721" customFormat="1" s="82">
      <c r="O3721" s="89" t="n"/>
    </row>
    <row r="3722" customFormat="1" s="82">
      <c r="O3722" s="89" t="n"/>
    </row>
    <row r="3723" customFormat="1" s="82">
      <c r="O3723" s="89" t="n"/>
    </row>
    <row r="3724" customFormat="1" s="82">
      <c r="O3724" s="89" t="n"/>
    </row>
    <row r="3725" customFormat="1" s="82">
      <c r="O3725" s="89" t="n"/>
    </row>
    <row r="3726" customFormat="1" s="82">
      <c r="O3726" s="89" t="n"/>
    </row>
    <row r="3727" customFormat="1" s="82">
      <c r="O3727" s="89" t="n"/>
    </row>
    <row r="3728" customFormat="1" s="82">
      <c r="O3728" s="89" t="n"/>
    </row>
    <row r="3729" customFormat="1" s="82">
      <c r="O3729" s="89" t="n"/>
    </row>
    <row r="3730" customFormat="1" s="82">
      <c r="O3730" s="89" t="n"/>
    </row>
    <row r="3731" customFormat="1" s="82">
      <c r="O3731" s="89" t="n"/>
    </row>
    <row r="3732" customFormat="1" s="82">
      <c r="O3732" s="89" t="n"/>
    </row>
    <row r="3733" customFormat="1" s="82">
      <c r="O3733" s="89" t="n"/>
    </row>
    <row r="3734" customFormat="1" s="82">
      <c r="O3734" s="89" t="n"/>
    </row>
    <row r="3735" customFormat="1" s="82">
      <c r="O3735" s="89" t="n"/>
    </row>
    <row r="3736" customFormat="1" s="82">
      <c r="O3736" s="89" t="n"/>
    </row>
    <row r="3737" customFormat="1" s="82">
      <c r="O3737" s="89" t="n"/>
    </row>
    <row r="3738" customFormat="1" s="82">
      <c r="O3738" s="89" t="n"/>
    </row>
    <row r="3739" customFormat="1" s="82">
      <c r="O3739" s="89" t="n"/>
    </row>
    <row r="3740" customFormat="1" s="82">
      <c r="O3740" s="89" t="n"/>
    </row>
    <row r="3741" customFormat="1" s="82">
      <c r="O3741" s="89" t="n"/>
    </row>
    <row r="3742" customFormat="1" s="82">
      <c r="O3742" s="89" t="n"/>
    </row>
    <row r="3743" customFormat="1" s="82">
      <c r="O3743" s="89" t="n"/>
    </row>
    <row r="3744" customFormat="1" s="82">
      <c r="O3744" s="89" t="n"/>
    </row>
    <row r="3745" customFormat="1" s="82">
      <c r="O3745" s="89" t="n"/>
    </row>
    <row r="3746" customFormat="1" s="82">
      <c r="O3746" s="89" t="n"/>
    </row>
    <row r="3747" customFormat="1" s="82">
      <c r="O3747" s="89" t="n"/>
    </row>
    <row r="3748" customFormat="1" s="82">
      <c r="O3748" s="89" t="n"/>
    </row>
    <row r="3749" customFormat="1" s="82">
      <c r="O3749" s="89" t="n"/>
    </row>
    <row r="3750" customFormat="1" s="82">
      <c r="O3750" s="89" t="n"/>
    </row>
    <row r="3751" customFormat="1" s="82">
      <c r="O3751" s="89" t="n"/>
    </row>
    <row r="3752" customFormat="1" s="82">
      <c r="O3752" s="89" t="n"/>
    </row>
    <row r="3753" customFormat="1" s="82">
      <c r="O3753" s="89" t="n"/>
    </row>
    <row r="3754" customFormat="1" s="82">
      <c r="O3754" s="89" t="n"/>
    </row>
    <row r="3755" customFormat="1" s="82">
      <c r="O3755" s="89" t="n"/>
    </row>
    <row r="3756" customFormat="1" s="82">
      <c r="O3756" s="89" t="n"/>
    </row>
    <row r="3757" customFormat="1" s="82">
      <c r="O3757" s="89" t="n"/>
    </row>
    <row r="3758" customFormat="1" s="82">
      <c r="O3758" s="89" t="n"/>
    </row>
    <row r="3759" customFormat="1" s="82">
      <c r="O3759" s="89" t="n"/>
    </row>
    <row r="3760" customFormat="1" s="82">
      <c r="O3760" s="89" t="n"/>
    </row>
    <row r="3761" customFormat="1" s="82">
      <c r="O3761" s="89" t="n"/>
    </row>
    <row r="3762" customFormat="1" s="82">
      <c r="O3762" s="89" t="n"/>
    </row>
    <row r="3763" customFormat="1" s="82">
      <c r="O3763" s="89" t="n"/>
    </row>
    <row r="3764" customFormat="1" s="82">
      <c r="O3764" s="89" t="n"/>
    </row>
    <row r="3765" customFormat="1" s="82">
      <c r="O3765" s="89" t="n"/>
    </row>
    <row r="3766" customFormat="1" s="82">
      <c r="O3766" s="89" t="n"/>
    </row>
    <row r="3767" customFormat="1" s="82">
      <c r="O3767" s="89" t="n"/>
    </row>
    <row r="3768" customFormat="1" s="82">
      <c r="O3768" s="89" t="n"/>
    </row>
    <row r="3769" customFormat="1" s="82">
      <c r="O3769" s="89" t="n"/>
    </row>
    <row r="3770" customFormat="1" s="82">
      <c r="O3770" s="89" t="n"/>
    </row>
    <row r="3771" customFormat="1" s="82">
      <c r="O3771" s="89" t="n"/>
    </row>
    <row r="3772" customFormat="1" s="82">
      <c r="O3772" s="89" t="n"/>
    </row>
    <row r="3773" customFormat="1" s="82">
      <c r="O3773" s="89" t="n"/>
    </row>
    <row r="3774" customFormat="1" s="82">
      <c r="O3774" s="89" t="n"/>
    </row>
    <row r="3775" customFormat="1" s="82">
      <c r="O3775" s="89" t="n"/>
    </row>
    <row r="3776" customFormat="1" s="82">
      <c r="O3776" s="89" t="n"/>
    </row>
    <row r="3777" customFormat="1" s="82">
      <c r="O3777" s="89" t="n"/>
    </row>
    <row r="3778" customFormat="1" s="82">
      <c r="O3778" s="89" t="n"/>
    </row>
    <row r="3779" customFormat="1" s="82">
      <c r="O3779" s="89" t="n"/>
    </row>
    <row r="3780" customFormat="1" s="82">
      <c r="O3780" s="89" t="n"/>
    </row>
    <row r="3781" customFormat="1" s="82">
      <c r="O3781" s="89" t="n"/>
    </row>
    <row r="3782" customFormat="1" s="82">
      <c r="O3782" s="89" t="n"/>
    </row>
    <row r="3783" customFormat="1" s="82">
      <c r="O3783" s="89" t="n"/>
    </row>
    <row r="3784" customFormat="1" s="82">
      <c r="O3784" s="89" t="n"/>
    </row>
    <row r="3785" customFormat="1" s="82">
      <c r="O3785" s="89" t="n"/>
    </row>
    <row r="3786" customFormat="1" s="82">
      <c r="O3786" s="89" t="n"/>
    </row>
    <row r="3787" customFormat="1" s="82">
      <c r="O3787" s="89" t="n"/>
    </row>
    <row r="3788" customFormat="1" s="82">
      <c r="O3788" s="89" t="n"/>
    </row>
    <row r="3789" customFormat="1" s="82">
      <c r="O3789" s="89" t="n"/>
    </row>
    <row r="3790" customFormat="1" s="82">
      <c r="O3790" s="89" t="n"/>
    </row>
    <row r="3791" customFormat="1" s="82">
      <c r="O3791" s="89" t="n"/>
    </row>
    <row r="3792" customFormat="1" s="82">
      <c r="O3792" s="89" t="n"/>
    </row>
    <row r="3793" customFormat="1" s="82">
      <c r="O3793" s="89" t="n"/>
    </row>
    <row r="3794" customFormat="1" s="82">
      <c r="O3794" s="89" t="n"/>
    </row>
    <row r="3795" customFormat="1" s="82">
      <c r="O3795" s="89" t="n"/>
    </row>
    <row r="3796" customFormat="1" s="82">
      <c r="O3796" s="89" t="n"/>
    </row>
    <row r="3797" customFormat="1" s="82">
      <c r="O3797" s="89" t="n"/>
    </row>
    <row r="3798" customFormat="1" s="82">
      <c r="O3798" s="89" t="n"/>
    </row>
    <row r="3799" customFormat="1" s="82">
      <c r="O3799" s="89" t="n"/>
    </row>
    <row r="3800" customFormat="1" s="82">
      <c r="O3800" s="89" t="n"/>
    </row>
    <row r="3801" customFormat="1" s="82">
      <c r="O3801" s="89" t="n"/>
    </row>
    <row r="3802" customFormat="1" s="82">
      <c r="O3802" s="89" t="n"/>
    </row>
    <row r="3803" customFormat="1" s="82">
      <c r="O3803" s="89" t="n"/>
    </row>
    <row r="3804" customFormat="1" s="82">
      <c r="O3804" s="89" t="n"/>
    </row>
    <row r="3805" customFormat="1" s="82">
      <c r="O3805" s="89" t="n"/>
    </row>
    <row r="3806" customFormat="1" s="82">
      <c r="O3806" s="89" t="n"/>
    </row>
    <row r="3807" customFormat="1" s="82">
      <c r="O3807" s="89" t="n"/>
    </row>
    <row r="3808" customFormat="1" s="82">
      <c r="O3808" s="89" t="n"/>
    </row>
    <row r="3809" customFormat="1" s="82">
      <c r="O3809" s="89" t="n"/>
    </row>
    <row r="3810" customFormat="1" s="82">
      <c r="O3810" s="89" t="n"/>
    </row>
    <row r="3811" customFormat="1" s="82">
      <c r="O3811" s="89" t="n"/>
    </row>
    <row r="3812" customFormat="1" s="82">
      <c r="O3812" s="89" t="n"/>
    </row>
    <row r="3813" customFormat="1" s="82">
      <c r="O3813" s="89" t="n"/>
    </row>
    <row r="3814" customFormat="1" s="82">
      <c r="O3814" s="89" t="n"/>
    </row>
    <row r="3815" customFormat="1" s="82">
      <c r="O3815" s="89" t="n"/>
    </row>
    <row r="3816" customFormat="1" s="82">
      <c r="O3816" s="89" t="n"/>
    </row>
    <row r="3817" customFormat="1" s="82">
      <c r="O3817" s="89" t="n"/>
    </row>
    <row r="3818" customFormat="1" s="82">
      <c r="O3818" s="89" t="n"/>
    </row>
    <row r="3819" customFormat="1" s="82">
      <c r="O3819" s="89" t="n"/>
    </row>
    <row r="3820" customFormat="1" s="82">
      <c r="O3820" s="89" t="n"/>
    </row>
    <row r="3821" customFormat="1" s="82">
      <c r="O3821" s="89" t="n"/>
    </row>
    <row r="3822" customFormat="1" s="82">
      <c r="O3822" s="89" t="n"/>
    </row>
    <row r="3823" customFormat="1" s="82">
      <c r="O3823" s="89" t="n"/>
    </row>
    <row r="3824" customFormat="1" s="82">
      <c r="O3824" s="89" t="n"/>
    </row>
    <row r="3825" customFormat="1" s="82">
      <c r="O3825" s="89" t="n"/>
    </row>
    <row r="3826" customFormat="1" s="82">
      <c r="O3826" s="89" t="n"/>
    </row>
    <row r="3827" customFormat="1" s="82">
      <c r="O3827" s="89" t="n"/>
    </row>
    <row r="3828" customFormat="1" s="82">
      <c r="O3828" s="89" t="n"/>
    </row>
    <row r="3829" customFormat="1" s="82">
      <c r="O3829" s="89" t="n"/>
    </row>
    <row r="3830" customFormat="1" s="82">
      <c r="O3830" s="89" t="n"/>
    </row>
    <row r="3831" customFormat="1" s="82">
      <c r="O3831" s="89" t="n"/>
    </row>
    <row r="3832" customFormat="1" s="82">
      <c r="O3832" s="89" t="n"/>
    </row>
    <row r="3833" customFormat="1" s="82">
      <c r="O3833" s="89" t="n"/>
    </row>
    <row r="3834" customFormat="1" s="82">
      <c r="O3834" s="89" t="n"/>
    </row>
    <row r="3835" customFormat="1" s="82">
      <c r="O3835" s="89" t="n"/>
    </row>
    <row r="3836" customFormat="1" s="82">
      <c r="O3836" s="89" t="n"/>
    </row>
    <row r="3837" customFormat="1" s="82">
      <c r="O3837" s="89" t="n"/>
    </row>
    <row r="3838" customFormat="1" s="82">
      <c r="O3838" s="89" t="n"/>
    </row>
    <row r="3839" customFormat="1" s="82">
      <c r="O3839" s="89" t="n"/>
    </row>
    <row r="3840" customFormat="1" s="82">
      <c r="O3840" s="89" t="n"/>
    </row>
    <row r="3841" customFormat="1" s="82">
      <c r="O3841" s="89" t="n"/>
    </row>
    <row r="3842" customFormat="1" s="82">
      <c r="O3842" s="89" t="n"/>
    </row>
    <row r="3843" customFormat="1" s="82">
      <c r="O3843" s="89" t="n"/>
    </row>
    <row r="3844" customFormat="1" s="82">
      <c r="O3844" s="89" t="n"/>
    </row>
    <row r="3845" customFormat="1" s="82">
      <c r="O3845" s="89" t="n"/>
    </row>
    <row r="3846" customFormat="1" s="82">
      <c r="O3846" s="89" t="n"/>
    </row>
    <row r="3847" customFormat="1" s="82">
      <c r="O3847" s="89" t="n"/>
    </row>
    <row r="3848" customFormat="1" s="82">
      <c r="O3848" s="89" t="n"/>
    </row>
    <row r="3849" customFormat="1" s="82">
      <c r="O3849" s="89" t="n"/>
    </row>
    <row r="3850" customFormat="1" s="82">
      <c r="O3850" s="89" t="n"/>
    </row>
    <row r="3851" customFormat="1" s="82">
      <c r="O3851" s="89" t="n"/>
    </row>
    <row r="3852" customFormat="1" s="82">
      <c r="O3852" s="89" t="n"/>
    </row>
    <row r="3853" customFormat="1" s="82">
      <c r="O3853" s="89" t="n"/>
    </row>
    <row r="3854" customFormat="1" s="82">
      <c r="O3854" s="89" t="n"/>
    </row>
    <row r="3855" customFormat="1" s="82">
      <c r="O3855" s="89" t="n"/>
    </row>
    <row r="3856" customFormat="1" s="82">
      <c r="O3856" s="89" t="n"/>
    </row>
    <row r="3857" customFormat="1" s="82">
      <c r="O3857" s="89" t="n"/>
    </row>
    <row r="3858" customFormat="1" s="82">
      <c r="O3858" s="89" t="n"/>
    </row>
    <row r="3859" customFormat="1" s="82">
      <c r="O3859" s="89" t="n"/>
    </row>
    <row r="3860" customFormat="1" s="82">
      <c r="O3860" s="89" t="n"/>
    </row>
    <row r="3861" customFormat="1" s="82">
      <c r="O3861" s="89" t="n"/>
    </row>
    <row r="3862" customFormat="1" s="82">
      <c r="O3862" s="89" t="n"/>
    </row>
    <row r="3863" customFormat="1" s="82">
      <c r="O3863" s="89" t="n"/>
    </row>
    <row r="3864" customFormat="1" s="82">
      <c r="O3864" s="89" t="n"/>
    </row>
    <row r="3865" customFormat="1" s="82">
      <c r="O3865" s="89" t="n"/>
    </row>
    <row r="3866" customFormat="1" s="82">
      <c r="O3866" s="89" t="n"/>
    </row>
    <row r="3867" customFormat="1" s="82">
      <c r="O3867" s="89" t="n"/>
    </row>
    <row r="3868" customFormat="1" s="82">
      <c r="O3868" s="89" t="n"/>
    </row>
    <row r="3869" customFormat="1" s="82">
      <c r="O3869" s="89" t="n"/>
    </row>
    <row r="3870" customFormat="1" s="82">
      <c r="O3870" s="89" t="n"/>
    </row>
    <row r="3871" customFormat="1" s="82">
      <c r="O3871" s="89" t="n"/>
    </row>
    <row r="3872" customFormat="1" s="82">
      <c r="O3872" s="89" t="n"/>
    </row>
    <row r="3873" customFormat="1" s="82">
      <c r="O3873" s="89" t="n"/>
    </row>
    <row r="3874" customFormat="1" s="82">
      <c r="O3874" s="89" t="n"/>
    </row>
    <row r="3875" customFormat="1" s="82">
      <c r="O3875" s="89" t="n"/>
    </row>
    <row r="3876" customFormat="1" s="82">
      <c r="O3876" s="89" t="n"/>
    </row>
    <row r="3877" customFormat="1" s="82">
      <c r="O3877" s="89" t="n"/>
    </row>
    <row r="3878" customFormat="1" s="82">
      <c r="O3878" s="89" t="n"/>
    </row>
    <row r="3879" customFormat="1" s="82">
      <c r="O3879" s="89" t="n"/>
    </row>
    <row r="3880" customFormat="1" s="82">
      <c r="O3880" s="89" t="n"/>
    </row>
    <row r="3881" customFormat="1" s="82">
      <c r="O3881" s="89" t="n"/>
    </row>
    <row r="3882" customFormat="1" s="82">
      <c r="O3882" s="89" t="n"/>
    </row>
    <row r="3883" customFormat="1" s="82">
      <c r="O3883" s="89" t="n"/>
    </row>
    <row r="3884" customFormat="1" s="82">
      <c r="O3884" s="89" t="n"/>
    </row>
    <row r="3885" customFormat="1" s="82">
      <c r="O3885" s="89" t="n"/>
    </row>
    <row r="3886" customFormat="1" s="82">
      <c r="O3886" s="89" t="n"/>
    </row>
    <row r="3887" customFormat="1" s="82">
      <c r="O3887" s="89" t="n"/>
    </row>
    <row r="3888" customFormat="1" s="82">
      <c r="O3888" s="89" t="n"/>
    </row>
    <row r="3889" customFormat="1" s="82">
      <c r="O3889" s="89" t="n"/>
    </row>
    <row r="3890" customFormat="1" s="82">
      <c r="O3890" s="89" t="n"/>
    </row>
    <row r="3891" customFormat="1" s="82">
      <c r="O3891" s="89" t="n"/>
    </row>
    <row r="3892" customFormat="1" s="82">
      <c r="O3892" s="89" t="n"/>
    </row>
    <row r="3893" customFormat="1" s="82">
      <c r="O3893" s="89" t="n"/>
    </row>
    <row r="3894" customFormat="1" s="82">
      <c r="O3894" s="89" t="n"/>
    </row>
    <row r="3895" customFormat="1" s="82">
      <c r="O3895" s="89" t="n"/>
    </row>
    <row r="3896" customFormat="1" s="82">
      <c r="O3896" s="89" t="n"/>
    </row>
    <row r="3897" customFormat="1" s="82">
      <c r="O3897" s="89" t="n"/>
    </row>
    <row r="3898" customFormat="1" s="82">
      <c r="O3898" s="89" t="n"/>
    </row>
    <row r="3899" customFormat="1" s="82">
      <c r="O3899" s="89" t="n"/>
    </row>
    <row r="3900" customFormat="1" s="82">
      <c r="O3900" s="89" t="n"/>
    </row>
    <row r="3901" customFormat="1" s="82">
      <c r="O3901" s="89" t="n"/>
    </row>
    <row r="3902" customFormat="1" s="82">
      <c r="O3902" s="89" t="n"/>
    </row>
    <row r="3903" customFormat="1" s="82">
      <c r="O3903" s="89" t="n"/>
    </row>
    <row r="3904" customFormat="1" s="82">
      <c r="O3904" s="89" t="n"/>
    </row>
    <row r="3905" customFormat="1" s="82">
      <c r="O3905" s="89" t="n"/>
    </row>
    <row r="3906" customFormat="1" s="82">
      <c r="O3906" s="89" t="n"/>
    </row>
    <row r="3907" customFormat="1" s="82">
      <c r="O3907" s="89" t="n"/>
    </row>
    <row r="3908" customFormat="1" s="82">
      <c r="O3908" s="89" t="n"/>
    </row>
    <row r="3909" customFormat="1" s="82">
      <c r="O3909" s="89" t="n"/>
    </row>
    <row r="3910" customFormat="1" s="82">
      <c r="O3910" s="89" t="n"/>
    </row>
    <row r="3911" customFormat="1" s="82">
      <c r="O3911" s="89" t="n"/>
    </row>
    <row r="3912" customFormat="1" s="82">
      <c r="O3912" s="89" t="n"/>
    </row>
    <row r="3913" customFormat="1" s="82">
      <c r="O3913" s="89" t="n"/>
    </row>
    <row r="3914" customFormat="1" s="82">
      <c r="O3914" s="89" t="n"/>
    </row>
    <row r="3915" customFormat="1" s="82">
      <c r="O3915" s="89" t="n"/>
    </row>
    <row r="3916" customFormat="1" s="82">
      <c r="O3916" s="89" t="n"/>
    </row>
    <row r="3917" customFormat="1" s="82">
      <c r="O3917" s="89" t="n"/>
    </row>
    <row r="3918" customFormat="1" s="82">
      <c r="O3918" s="89" t="n"/>
    </row>
    <row r="3919" customFormat="1" s="82">
      <c r="O3919" s="89" t="n"/>
    </row>
    <row r="3920" customFormat="1" s="82">
      <c r="O3920" s="89" t="n"/>
    </row>
    <row r="3921" customFormat="1" s="82">
      <c r="O3921" s="89" t="n"/>
    </row>
    <row r="3922" customFormat="1" s="82">
      <c r="O3922" s="89" t="n"/>
    </row>
    <row r="3923" customFormat="1" s="82">
      <c r="O3923" s="89" t="n"/>
    </row>
    <row r="3924" customFormat="1" s="82">
      <c r="O3924" s="89" t="n"/>
    </row>
    <row r="3925" customFormat="1" s="82">
      <c r="O3925" s="89" t="n"/>
    </row>
    <row r="3926" customFormat="1" s="82">
      <c r="O3926" s="89" t="n"/>
    </row>
    <row r="3927" customFormat="1" s="82">
      <c r="O3927" s="89" t="n"/>
    </row>
    <row r="3928" customFormat="1" s="82">
      <c r="O3928" s="89" t="n"/>
    </row>
    <row r="3929" customFormat="1" s="82">
      <c r="O3929" s="89" t="n"/>
    </row>
    <row r="3930" customFormat="1" s="82">
      <c r="O3930" s="89" t="n"/>
    </row>
    <row r="3931" customFormat="1" s="82">
      <c r="O3931" s="89" t="n"/>
    </row>
    <row r="3932" customFormat="1" s="82">
      <c r="O3932" s="89" t="n"/>
    </row>
    <row r="3933" customFormat="1" s="82">
      <c r="O3933" s="89" t="n"/>
    </row>
    <row r="3934" customFormat="1" s="82">
      <c r="O3934" s="89" t="n"/>
    </row>
    <row r="3935" customFormat="1" s="82">
      <c r="O3935" s="89" t="n"/>
    </row>
    <row r="3936" customFormat="1" s="82">
      <c r="O3936" s="89" t="n"/>
    </row>
    <row r="3937" customFormat="1" s="82">
      <c r="O3937" s="89" t="n"/>
    </row>
    <row r="3938" customFormat="1" s="82">
      <c r="O3938" s="89" t="n"/>
    </row>
    <row r="3939" customFormat="1" s="82">
      <c r="O3939" s="89" t="n"/>
    </row>
    <row r="3940" customFormat="1" s="82">
      <c r="O3940" s="89" t="n"/>
    </row>
    <row r="3941" customFormat="1" s="82">
      <c r="O3941" s="89" t="n"/>
    </row>
    <row r="3942" customFormat="1" s="82">
      <c r="O3942" s="89" t="n"/>
    </row>
    <row r="3943" customFormat="1" s="82">
      <c r="O3943" s="89" t="n"/>
    </row>
    <row r="3944" customFormat="1" s="82">
      <c r="O3944" s="89" t="n"/>
    </row>
    <row r="3945" customFormat="1" s="82">
      <c r="O3945" s="89" t="n"/>
    </row>
    <row r="3946" customFormat="1" s="82">
      <c r="O3946" s="89" t="n"/>
    </row>
    <row r="3947" customFormat="1" s="82">
      <c r="O3947" s="89" t="n"/>
    </row>
    <row r="3948" customFormat="1" s="82">
      <c r="O3948" s="89" t="n"/>
    </row>
    <row r="3949" customFormat="1" s="82">
      <c r="O3949" s="89" t="n"/>
    </row>
    <row r="3950" customFormat="1" s="82">
      <c r="O3950" s="89" t="n"/>
    </row>
    <row r="3951" customFormat="1" s="82">
      <c r="O3951" s="89" t="n"/>
    </row>
    <row r="3952" customFormat="1" s="82">
      <c r="O3952" s="89" t="n"/>
    </row>
    <row r="3953" customFormat="1" s="82">
      <c r="O3953" s="89" t="n"/>
    </row>
    <row r="3954" customFormat="1" s="82">
      <c r="O3954" s="89" t="n"/>
    </row>
    <row r="3955" customFormat="1" s="82">
      <c r="O3955" s="89" t="n"/>
    </row>
    <row r="3956" customFormat="1" s="82">
      <c r="O3956" s="89" t="n"/>
    </row>
    <row r="3957" customFormat="1" s="82">
      <c r="O3957" s="89" t="n"/>
    </row>
    <row r="3958" customFormat="1" s="82">
      <c r="O3958" s="89" t="n"/>
    </row>
    <row r="3959" customFormat="1" s="82">
      <c r="O3959" s="89" t="n"/>
    </row>
    <row r="3960" customFormat="1" s="82">
      <c r="O3960" s="89" t="n"/>
    </row>
    <row r="3961" customFormat="1" s="82">
      <c r="O3961" s="89" t="n"/>
    </row>
    <row r="3962" customFormat="1" s="82">
      <c r="O3962" s="89" t="n"/>
    </row>
    <row r="3963" customFormat="1" s="82">
      <c r="O3963" s="89" t="n"/>
    </row>
    <row r="3964" customFormat="1" s="82">
      <c r="O3964" s="89" t="n"/>
    </row>
    <row r="3965" customFormat="1" s="82">
      <c r="O3965" s="89" t="n"/>
    </row>
    <row r="3966" customFormat="1" s="82">
      <c r="O3966" s="89" t="n"/>
    </row>
    <row r="3967" customFormat="1" s="82">
      <c r="O3967" s="89" t="n"/>
    </row>
    <row r="3968" customFormat="1" s="82">
      <c r="O3968" s="89" t="n"/>
    </row>
    <row r="3969" customFormat="1" s="82">
      <c r="O3969" s="89" t="n"/>
    </row>
    <row r="3970" customFormat="1" s="82">
      <c r="O3970" s="89" t="n"/>
    </row>
    <row r="3971" customFormat="1" s="82">
      <c r="O3971" s="89" t="n"/>
    </row>
    <row r="3972" customFormat="1" s="82">
      <c r="O3972" s="89" t="n"/>
    </row>
    <row r="3973" customFormat="1" s="82">
      <c r="O3973" s="89" t="n"/>
    </row>
    <row r="3974" customFormat="1" s="82">
      <c r="O3974" s="89" t="n"/>
    </row>
    <row r="3975" customFormat="1" s="82">
      <c r="O3975" s="89" t="n"/>
    </row>
    <row r="3976" customFormat="1" s="82">
      <c r="O3976" s="89" t="n"/>
    </row>
    <row r="3977" customFormat="1" s="82">
      <c r="O3977" s="89" t="n"/>
    </row>
    <row r="3978" customFormat="1" s="82">
      <c r="O3978" s="89" t="n"/>
    </row>
    <row r="3979" customFormat="1" s="82">
      <c r="O3979" s="89" t="n"/>
    </row>
    <row r="3980" customFormat="1" s="82">
      <c r="O3980" s="89" t="n"/>
    </row>
    <row r="3981" customFormat="1" s="82">
      <c r="O3981" s="89" t="n"/>
    </row>
    <row r="3982" customFormat="1" s="82">
      <c r="O3982" s="89" t="n"/>
    </row>
    <row r="3983" customFormat="1" s="82">
      <c r="O3983" s="89" t="n"/>
    </row>
    <row r="3984" customFormat="1" s="82">
      <c r="O3984" s="89" t="n"/>
    </row>
    <row r="3985" customFormat="1" s="82">
      <c r="O3985" s="89" t="n"/>
    </row>
    <row r="3986" customFormat="1" s="82">
      <c r="O3986" s="89" t="n"/>
    </row>
    <row r="3987" customFormat="1" s="82">
      <c r="O3987" s="89" t="n"/>
    </row>
    <row r="3988" customFormat="1" s="82">
      <c r="O3988" s="89" t="n"/>
    </row>
    <row r="3989" customFormat="1" s="82">
      <c r="O3989" s="89" t="n"/>
    </row>
    <row r="3990" customFormat="1" s="82">
      <c r="O3990" s="89" t="n"/>
    </row>
    <row r="3991" customFormat="1" s="82">
      <c r="O3991" s="89" t="n"/>
    </row>
    <row r="3992" customFormat="1" s="82">
      <c r="O3992" s="89" t="n"/>
    </row>
    <row r="3993" customFormat="1" s="82">
      <c r="O3993" s="89" t="n"/>
    </row>
    <row r="3994" customFormat="1" s="82">
      <c r="O3994" s="89" t="n"/>
    </row>
    <row r="3995" customFormat="1" s="82">
      <c r="O3995" s="89" t="n"/>
    </row>
    <row r="3996" customFormat="1" s="82">
      <c r="O3996" s="89" t="n"/>
    </row>
    <row r="3997" customFormat="1" s="82">
      <c r="O3997" s="89" t="n"/>
    </row>
    <row r="3998" customFormat="1" s="82">
      <c r="O3998" s="89" t="n"/>
    </row>
    <row r="3999" customFormat="1" s="82">
      <c r="O3999" s="89" t="n"/>
    </row>
    <row r="4000" customFormat="1" s="82">
      <c r="O4000" s="89" t="n"/>
    </row>
    <row r="4001" customFormat="1" s="82">
      <c r="O4001" s="89" t="n"/>
    </row>
    <row r="4002" customFormat="1" s="82">
      <c r="O4002" s="89" t="n"/>
    </row>
    <row r="4003" customFormat="1" s="82">
      <c r="O4003" s="89" t="n"/>
    </row>
    <row r="4004" customFormat="1" s="82">
      <c r="O4004" s="89" t="n"/>
    </row>
    <row r="4005" customFormat="1" s="82">
      <c r="O4005" s="89" t="n"/>
    </row>
    <row r="4006" customFormat="1" s="82">
      <c r="O4006" s="89" t="n"/>
    </row>
    <row r="4007" customFormat="1" s="82">
      <c r="O4007" s="89" t="n"/>
    </row>
    <row r="4008" customFormat="1" s="82">
      <c r="O4008" s="89" t="n"/>
    </row>
    <row r="4009" customFormat="1" s="82">
      <c r="O4009" s="89" t="n"/>
    </row>
    <row r="4010" customFormat="1" s="82">
      <c r="O4010" s="89" t="n"/>
    </row>
    <row r="4011" customFormat="1" s="82">
      <c r="O4011" s="89" t="n"/>
    </row>
    <row r="4012" customFormat="1" s="82">
      <c r="O4012" s="89" t="n"/>
    </row>
    <row r="4013" customFormat="1" s="82">
      <c r="O4013" s="89" t="n"/>
    </row>
    <row r="4014" customFormat="1" s="82">
      <c r="O4014" s="89" t="n"/>
    </row>
    <row r="4015" customFormat="1" s="82">
      <c r="O4015" s="89" t="n"/>
    </row>
    <row r="4016" customFormat="1" s="82">
      <c r="O4016" s="89" t="n"/>
    </row>
    <row r="4017" customFormat="1" s="82">
      <c r="O4017" s="89" t="n"/>
    </row>
    <row r="4018" customFormat="1" s="82">
      <c r="O4018" s="89" t="n"/>
    </row>
    <row r="4019" customFormat="1" s="82">
      <c r="O4019" s="89" t="n"/>
    </row>
    <row r="4020" customFormat="1" s="82">
      <c r="O4020" s="89" t="n"/>
    </row>
    <row r="4021" customFormat="1" s="82">
      <c r="O4021" s="89" t="n"/>
    </row>
    <row r="4022" customFormat="1" s="82">
      <c r="O4022" s="89" t="n"/>
    </row>
    <row r="4023" customFormat="1" s="82">
      <c r="O4023" s="89" t="n"/>
    </row>
    <row r="4024" customFormat="1" s="82">
      <c r="O4024" s="89" t="n"/>
    </row>
    <row r="4025" customFormat="1" s="82">
      <c r="O4025" s="89" t="n"/>
    </row>
    <row r="4026" customFormat="1" s="82">
      <c r="O4026" s="89" t="n"/>
    </row>
    <row r="4027" customFormat="1" s="82">
      <c r="O4027" s="89" t="n"/>
    </row>
    <row r="4028" customFormat="1" s="82">
      <c r="O4028" s="89" t="n"/>
    </row>
    <row r="4029" customFormat="1" s="82">
      <c r="O4029" s="89" t="n"/>
    </row>
    <row r="4030" customFormat="1" s="82">
      <c r="O4030" s="89" t="n"/>
    </row>
    <row r="4031" customFormat="1" s="82">
      <c r="O4031" s="89" t="n"/>
    </row>
    <row r="4032" customFormat="1" s="82">
      <c r="O4032" s="89" t="n"/>
    </row>
    <row r="4033" customFormat="1" s="82">
      <c r="O4033" s="89" t="n"/>
    </row>
    <row r="4034" customFormat="1" s="82">
      <c r="O4034" s="89" t="n"/>
    </row>
    <row r="4035" customFormat="1" s="82">
      <c r="O4035" s="89" t="n"/>
    </row>
    <row r="4036" customFormat="1" s="82">
      <c r="O4036" s="89" t="n"/>
    </row>
    <row r="4037" customFormat="1" s="82">
      <c r="O4037" s="89" t="n"/>
    </row>
    <row r="4038" customFormat="1" s="82">
      <c r="O4038" s="89" t="n"/>
    </row>
    <row r="4039" customFormat="1" s="82">
      <c r="O4039" s="89" t="n"/>
    </row>
    <row r="4040" customFormat="1" s="82">
      <c r="O4040" s="89" t="n"/>
    </row>
    <row r="4041" customFormat="1" s="82">
      <c r="O4041" s="89" t="n"/>
    </row>
    <row r="4042" customFormat="1" s="82">
      <c r="O4042" s="89" t="n"/>
    </row>
    <row r="4043" customFormat="1" s="82">
      <c r="O4043" s="89" t="n"/>
    </row>
    <row r="4044" customFormat="1" s="82">
      <c r="O4044" s="89" t="n"/>
    </row>
    <row r="4045" customFormat="1" s="82">
      <c r="O4045" s="89" t="n"/>
    </row>
    <row r="4046" customFormat="1" s="82">
      <c r="O4046" s="89" t="n"/>
    </row>
    <row r="4047" customFormat="1" s="82">
      <c r="O4047" s="89" t="n"/>
    </row>
    <row r="4048" customFormat="1" s="82">
      <c r="O4048" s="89" t="n"/>
    </row>
    <row r="4049" customFormat="1" s="82">
      <c r="O4049" s="89" t="n"/>
    </row>
    <row r="4050" customFormat="1" s="82">
      <c r="O4050" s="89" t="n"/>
    </row>
    <row r="4051" customFormat="1" s="82">
      <c r="O4051" s="89" t="n"/>
    </row>
    <row r="4052" customFormat="1" s="82">
      <c r="O4052" s="89" t="n"/>
    </row>
    <row r="4053" customFormat="1" s="82">
      <c r="O4053" s="89" t="n"/>
    </row>
    <row r="4054" customFormat="1" s="82">
      <c r="O4054" s="89" t="n"/>
    </row>
    <row r="4055" customFormat="1" s="82">
      <c r="O4055" s="89" t="n"/>
    </row>
    <row r="4056" customFormat="1" s="82">
      <c r="O4056" s="89" t="n"/>
    </row>
    <row r="4057" customFormat="1" s="82">
      <c r="O4057" s="89" t="n"/>
    </row>
    <row r="4058" customFormat="1" s="82">
      <c r="O4058" s="89" t="n"/>
    </row>
    <row r="4059" customFormat="1" s="82">
      <c r="O4059" s="89" t="n"/>
    </row>
    <row r="4060" customFormat="1" s="82">
      <c r="O4060" s="89" t="n"/>
    </row>
    <row r="4061" customFormat="1" s="82">
      <c r="O4061" s="89" t="n"/>
    </row>
    <row r="4062" customFormat="1" s="82">
      <c r="O4062" s="89" t="n"/>
    </row>
    <row r="4063" customFormat="1" s="82">
      <c r="O4063" s="89" t="n"/>
    </row>
    <row r="4064" customFormat="1" s="82">
      <c r="O4064" s="89" t="n"/>
    </row>
    <row r="4065" customFormat="1" s="82">
      <c r="O4065" s="89" t="n"/>
    </row>
    <row r="4066" customFormat="1" s="82">
      <c r="O4066" s="89" t="n"/>
    </row>
    <row r="4067" customFormat="1" s="82">
      <c r="O4067" s="89" t="n"/>
    </row>
    <row r="4068" customFormat="1" s="82">
      <c r="O4068" s="89" t="n"/>
    </row>
    <row r="4069" customFormat="1" s="82">
      <c r="O4069" s="89" t="n"/>
    </row>
    <row r="4070" customFormat="1" s="82">
      <c r="O4070" s="89" t="n"/>
    </row>
    <row r="4071" customFormat="1" s="82">
      <c r="O4071" s="89" t="n"/>
    </row>
    <row r="4072" customFormat="1" s="82">
      <c r="O4072" s="89" t="n"/>
    </row>
    <row r="4073" customFormat="1" s="82">
      <c r="O4073" s="89" t="n"/>
    </row>
    <row r="4074" customFormat="1" s="82">
      <c r="O4074" s="89" t="n"/>
    </row>
    <row r="4075" customFormat="1" s="82">
      <c r="O4075" s="89" t="n"/>
    </row>
    <row r="4076" customFormat="1" s="82">
      <c r="O4076" s="89" t="n"/>
    </row>
    <row r="4077" customFormat="1" s="82">
      <c r="O4077" s="89" t="n"/>
    </row>
    <row r="4078" customFormat="1" s="82">
      <c r="O4078" s="89" t="n"/>
    </row>
    <row r="4079" customFormat="1" s="82">
      <c r="O4079" s="89" t="n"/>
    </row>
    <row r="4080" customFormat="1" s="82">
      <c r="O4080" s="89" t="n"/>
    </row>
    <row r="4081" customFormat="1" s="82">
      <c r="O4081" s="89" t="n"/>
    </row>
    <row r="4082" customFormat="1" s="82">
      <c r="O4082" s="89" t="n"/>
    </row>
    <row r="4083" customFormat="1" s="82">
      <c r="O4083" s="89" t="n"/>
    </row>
    <row r="4084" customFormat="1" s="82">
      <c r="O4084" s="89" t="n"/>
    </row>
    <row r="4085" customFormat="1" s="82">
      <c r="O4085" s="89" t="n"/>
    </row>
    <row r="4086" customFormat="1" s="82">
      <c r="O4086" s="89" t="n"/>
    </row>
    <row r="4087" customFormat="1" s="82">
      <c r="O4087" s="89" t="n"/>
    </row>
    <row r="4088" customFormat="1" s="82">
      <c r="O4088" s="89" t="n"/>
    </row>
    <row r="4089" customFormat="1" s="82">
      <c r="O4089" s="89" t="n"/>
    </row>
    <row r="4090" customFormat="1" s="82">
      <c r="O4090" s="89" t="n"/>
    </row>
    <row r="4091" customFormat="1" s="82">
      <c r="O4091" s="89" t="n"/>
    </row>
    <row r="4092" customFormat="1" s="82">
      <c r="O4092" s="89" t="n"/>
    </row>
    <row r="4093" customFormat="1" s="82">
      <c r="O4093" s="89" t="n"/>
    </row>
    <row r="4094" customFormat="1" s="82">
      <c r="O4094" s="89" t="n"/>
    </row>
    <row r="4095" customFormat="1" s="82">
      <c r="O4095" s="89" t="n"/>
    </row>
    <row r="4096" customFormat="1" s="82">
      <c r="O4096" s="89" t="n"/>
    </row>
    <row r="4097" customFormat="1" s="82">
      <c r="O4097" s="89" t="n"/>
    </row>
    <row r="4098" customFormat="1" s="82">
      <c r="O4098" s="89" t="n"/>
    </row>
    <row r="4099" customFormat="1" s="82">
      <c r="O4099" s="89" t="n"/>
    </row>
    <row r="4100" customFormat="1" s="82">
      <c r="O4100" s="89" t="n"/>
    </row>
    <row r="4101" customFormat="1" s="82">
      <c r="O4101" s="89" t="n"/>
    </row>
    <row r="4102" customFormat="1" s="82">
      <c r="O4102" s="89" t="n"/>
    </row>
    <row r="4103" customFormat="1" s="82">
      <c r="O4103" s="89" t="n"/>
    </row>
    <row r="4104" customFormat="1" s="82">
      <c r="O4104" s="89" t="n"/>
    </row>
    <row r="4105" customFormat="1" s="82">
      <c r="O4105" s="89" t="n"/>
    </row>
    <row r="4106" customFormat="1" s="82">
      <c r="O4106" s="89" t="n"/>
    </row>
    <row r="4107" customFormat="1" s="82">
      <c r="O4107" s="89" t="n"/>
    </row>
    <row r="4108" customFormat="1" s="82">
      <c r="O4108" s="89" t="n"/>
    </row>
    <row r="4109" customFormat="1" s="82">
      <c r="O4109" s="89" t="n"/>
    </row>
    <row r="4110" customFormat="1" s="82">
      <c r="O4110" s="89" t="n"/>
    </row>
    <row r="4111" customFormat="1" s="82">
      <c r="O4111" s="89" t="n"/>
    </row>
    <row r="4112" customFormat="1" s="82">
      <c r="O4112" s="89" t="n"/>
    </row>
    <row r="4113" customFormat="1" s="82">
      <c r="O4113" s="89" t="n"/>
    </row>
    <row r="4114" customFormat="1" s="82">
      <c r="O4114" s="89" t="n"/>
    </row>
    <row r="4115" customFormat="1" s="82">
      <c r="O4115" s="89" t="n"/>
    </row>
    <row r="4116" customFormat="1" s="82">
      <c r="O4116" s="89" t="n"/>
    </row>
    <row r="4117" customFormat="1" s="82">
      <c r="O4117" s="89" t="n"/>
    </row>
    <row r="4118" customFormat="1" s="82">
      <c r="O4118" s="89" t="n"/>
    </row>
    <row r="4119" customFormat="1" s="82">
      <c r="O4119" s="89" t="n"/>
    </row>
    <row r="4120" customFormat="1" s="82">
      <c r="O4120" s="89" t="n"/>
    </row>
    <row r="4121" customFormat="1" s="82">
      <c r="O4121" s="89" t="n"/>
    </row>
    <row r="4122" customFormat="1" s="82">
      <c r="O4122" s="89" t="n"/>
    </row>
    <row r="4123" customFormat="1" s="82">
      <c r="O4123" s="89" t="n"/>
    </row>
    <row r="4124" customFormat="1" s="82">
      <c r="O4124" s="89" t="n"/>
    </row>
    <row r="4125" customFormat="1" s="82">
      <c r="O4125" s="89" t="n"/>
    </row>
    <row r="4126" customFormat="1" s="82">
      <c r="O4126" s="89" t="n"/>
    </row>
    <row r="4127" customFormat="1" s="82">
      <c r="O4127" s="89" t="n"/>
    </row>
    <row r="4128" customFormat="1" s="82">
      <c r="O4128" s="89" t="n"/>
    </row>
    <row r="4129" customFormat="1" s="82">
      <c r="O4129" s="89" t="n"/>
    </row>
    <row r="4130" customFormat="1" s="82">
      <c r="O4130" s="89" t="n"/>
    </row>
    <row r="4131" customFormat="1" s="82">
      <c r="O4131" s="89" t="n"/>
    </row>
    <row r="4132" customFormat="1" s="82">
      <c r="O4132" s="89" t="n"/>
    </row>
    <row r="4133" customFormat="1" s="82">
      <c r="O4133" s="89" t="n"/>
    </row>
    <row r="4134" customFormat="1" s="82">
      <c r="O4134" s="89" t="n"/>
    </row>
    <row r="4135" customFormat="1" s="82">
      <c r="O4135" s="89" t="n"/>
    </row>
    <row r="4136" customFormat="1" s="82">
      <c r="O4136" s="89" t="n"/>
    </row>
    <row r="4137" customFormat="1" s="82">
      <c r="O4137" s="89" t="n"/>
    </row>
    <row r="4138" customFormat="1" s="82">
      <c r="O4138" s="89" t="n"/>
    </row>
    <row r="4139" customFormat="1" s="82">
      <c r="O4139" s="89" t="n"/>
    </row>
    <row r="4140" customFormat="1" s="82">
      <c r="O4140" s="89" t="n"/>
    </row>
    <row r="4141" customFormat="1" s="82">
      <c r="O4141" s="89" t="n"/>
    </row>
    <row r="4142" customFormat="1" s="82">
      <c r="O4142" s="89" t="n"/>
    </row>
    <row r="4143" customFormat="1" s="82">
      <c r="O4143" s="89" t="n"/>
    </row>
    <row r="4144" customFormat="1" s="82">
      <c r="O4144" s="89" t="n"/>
    </row>
    <row r="4145" customFormat="1" s="82">
      <c r="O4145" s="89" t="n"/>
    </row>
    <row r="4146" customFormat="1" s="82">
      <c r="O4146" s="89" t="n"/>
    </row>
    <row r="4147" customFormat="1" s="82">
      <c r="O4147" s="89" t="n"/>
    </row>
    <row r="4148" customFormat="1" s="82">
      <c r="O4148" s="89" t="n"/>
    </row>
    <row r="4149" customFormat="1" s="82">
      <c r="O4149" s="89" t="n"/>
    </row>
    <row r="4150" customFormat="1" s="82">
      <c r="O4150" s="89" t="n"/>
    </row>
    <row r="4151" customFormat="1" s="82">
      <c r="O4151" s="89" t="n"/>
    </row>
    <row r="4152" customFormat="1" s="82">
      <c r="O4152" s="89" t="n"/>
    </row>
    <row r="4153" customFormat="1" s="82">
      <c r="O4153" s="89" t="n"/>
    </row>
    <row r="4154" customFormat="1" s="82">
      <c r="O4154" s="89" t="n"/>
    </row>
    <row r="4155" customFormat="1" s="82">
      <c r="O4155" s="89" t="n"/>
    </row>
    <row r="4156" customFormat="1" s="82">
      <c r="O4156" s="89" t="n"/>
    </row>
    <row r="4157" customFormat="1" s="82">
      <c r="O4157" s="89" t="n"/>
    </row>
    <row r="4158" customFormat="1" s="82">
      <c r="O4158" s="89" t="n"/>
    </row>
    <row r="4159" customFormat="1" s="82">
      <c r="O4159" s="89" t="n"/>
    </row>
    <row r="4160" customFormat="1" s="82">
      <c r="O4160" s="89" t="n"/>
    </row>
    <row r="4161" customFormat="1" s="82">
      <c r="O4161" s="89" t="n"/>
    </row>
    <row r="4162" customFormat="1" s="82">
      <c r="O4162" s="89" t="n"/>
    </row>
    <row r="4163" customFormat="1" s="82">
      <c r="O4163" s="89" t="n"/>
    </row>
    <row r="4164" customFormat="1" s="82">
      <c r="O4164" s="89" t="n"/>
    </row>
    <row r="4165" customFormat="1" s="82">
      <c r="O4165" s="89" t="n"/>
    </row>
    <row r="4166" customFormat="1" s="82">
      <c r="O4166" s="89" t="n"/>
    </row>
    <row r="4167" customFormat="1" s="82">
      <c r="O4167" s="89" t="n"/>
    </row>
    <row r="4168" customFormat="1" s="82">
      <c r="O4168" s="89" t="n"/>
    </row>
    <row r="4169" customFormat="1" s="82">
      <c r="O4169" s="89" t="n"/>
    </row>
    <row r="4170" customFormat="1" s="82">
      <c r="O4170" s="89" t="n"/>
    </row>
    <row r="4171" customFormat="1" s="82">
      <c r="O4171" s="89" t="n"/>
    </row>
    <row r="4172" customFormat="1" s="82">
      <c r="O4172" s="89" t="n"/>
    </row>
    <row r="4173" customFormat="1" s="82">
      <c r="O4173" s="89" t="n"/>
    </row>
    <row r="4174" customFormat="1" s="82">
      <c r="O4174" s="89" t="n"/>
    </row>
    <row r="4175" customFormat="1" s="82">
      <c r="O4175" s="89" t="n"/>
    </row>
    <row r="4176" customFormat="1" s="82">
      <c r="O4176" s="89" t="n"/>
    </row>
    <row r="4177" customFormat="1" s="82">
      <c r="O4177" s="89" t="n"/>
    </row>
    <row r="4178" customFormat="1" s="82">
      <c r="O4178" s="89" t="n"/>
    </row>
    <row r="4179" customFormat="1" s="82">
      <c r="O4179" s="89" t="n"/>
    </row>
    <row r="4180" customFormat="1" s="82">
      <c r="O4180" s="89" t="n"/>
    </row>
    <row r="4181" customFormat="1" s="82">
      <c r="O4181" s="89" t="n"/>
    </row>
    <row r="4182" customFormat="1" s="82">
      <c r="O4182" s="89" t="n"/>
    </row>
    <row r="4183" customFormat="1" s="82">
      <c r="O4183" s="89" t="n"/>
    </row>
    <row r="4184" customFormat="1" s="82">
      <c r="O4184" s="89" t="n"/>
    </row>
    <row r="4185" customFormat="1" s="82">
      <c r="O4185" s="89" t="n"/>
    </row>
    <row r="4186" customFormat="1" s="82">
      <c r="O4186" s="89" t="n"/>
    </row>
    <row r="4187" customFormat="1" s="82">
      <c r="O4187" s="89" t="n"/>
    </row>
    <row r="4188" customFormat="1" s="82">
      <c r="O4188" s="89" t="n"/>
    </row>
    <row r="4189" customFormat="1" s="82">
      <c r="O4189" s="89" t="n"/>
    </row>
    <row r="4190" customFormat="1" s="82">
      <c r="O4190" s="89" t="n"/>
    </row>
    <row r="4191" customFormat="1" s="82">
      <c r="O4191" s="89" t="n"/>
    </row>
    <row r="4192" customFormat="1" s="82">
      <c r="O4192" s="89" t="n"/>
    </row>
    <row r="4193" customFormat="1" s="82">
      <c r="O4193" s="89" t="n"/>
    </row>
    <row r="4194" customFormat="1" s="82">
      <c r="O4194" s="89" t="n"/>
    </row>
    <row r="4195" customFormat="1" s="82">
      <c r="O4195" s="89" t="n"/>
    </row>
    <row r="4196" customFormat="1" s="82">
      <c r="O4196" s="89" t="n"/>
    </row>
    <row r="4197" customFormat="1" s="82">
      <c r="O4197" s="89" t="n"/>
    </row>
    <row r="4198" customFormat="1" s="82">
      <c r="O4198" s="89" t="n"/>
    </row>
    <row r="4199" customFormat="1" s="82">
      <c r="O4199" s="89" t="n"/>
    </row>
    <row r="4200" customFormat="1" s="82">
      <c r="O4200" s="89" t="n"/>
    </row>
    <row r="4201" customFormat="1" s="82">
      <c r="O4201" s="89" t="n"/>
    </row>
    <row r="4202" customFormat="1" s="82">
      <c r="O4202" s="89" t="n"/>
    </row>
    <row r="4203" customFormat="1" s="82">
      <c r="O4203" s="89" t="n"/>
    </row>
    <row r="4204" customFormat="1" s="82">
      <c r="O4204" s="89" t="n"/>
    </row>
    <row r="4205" customFormat="1" s="82">
      <c r="O4205" s="89" t="n"/>
    </row>
    <row r="4206" customFormat="1" s="82">
      <c r="O4206" s="89" t="n"/>
    </row>
    <row r="4207" customFormat="1" s="82">
      <c r="O4207" s="89" t="n"/>
    </row>
    <row r="4208" customFormat="1" s="82">
      <c r="O4208" s="89" t="n"/>
    </row>
    <row r="4209" customFormat="1" s="82">
      <c r="O4209" s="89" t="n"/>
    </row>
    <row r="4210" customFormat="1" s="82">
      <c r="O4210" s="89" t="n"/>
    </row>
    <row r="4211" customFormat="1" s="82">
      <c r="O4211" s="89" t="n"/>
    </row>
    <row r="4212" customFormat="1" s="82">
      <c r="O4212" s="89" t="n"/>
    </row>
    <row r="4213" customFormat="1" s="82">
      <c r="O4213" s="89" t="n"/>
    </row>
    <row r="4214" customFormat="1" s="82">
      <c r="O4214" s="89" t="n"/>
    </row>
    <row r="4215" customFormat="1" s="82">
      <c r="O4215" s="89" t="n"/>
    </row>
    <row r="4216" customFormat="1" s="82">
      <c r="O4216" s="89" t="n"/>
    </row>
    <row r="4217" customFormat="1" s="82">
      <c r="O4217" s="89" t="n"/>
    </row>
    <row r="4218" customFormat="1" s="82">
      <c r="O4218" s="89" t="n"/>
    </row>
    <row r="4219" customFormat="1" s="82">
      <c r="O4219" s="89" t="n"/>
    </row>
    <row r="4220" customFormat="1" s="82">
      <c r="O4220" s="89" t="n"/>
    </row>
    <row r="4221" customFormat="1" s="82">
      <c r="O4221" s="89" t="n"/>
    </row>
    <row r="4222" customFormat="1" s="82">
      <c r="O4222" s="89" t="n"/>
    </row>
    <row r="4223" customFormat="1" s="82">
      <c r="O4223" s="89" t="n"/>
    </row>
    <row r="4224" customFormat="1" s="82">
      <c r="O4224" s="89" t="n"/>
    </row>
    <row r="4225" customFormat="1" s="82">
      <c r="O4225" s="89" t="n"/>
    </row>
    <row r="4226" customFormat="1" s="82">
      <c r="O4226" s="89" t="n"/>
    </row>
    <row r="4227" customFormat="1" s="82">
      <c r="O4227" s="89" t="n"/>
    </row>
    <row r="4228" customFormat="1" s="82">
      <c r="O4228" s="89" t="n"/>
    </row>
    <row r="4229" customFormat="1" s="82">
      <c r="O4229" s="89" t="n"/>
    </row>
    <row r="4230" customFormat="1" s="82">
      <c r="O4230" s="89" t="n"/>
    </row>
    <row r="4231" customFormat="1" s="82">
      <c r="O4231" s="89" t="n"/>
    </row>
    <row r="4232" customFormat="1" s="82">
      <c r="O4232" s="89" t="n"/>
    </row>
    <row r="4233" customFormat="1" s="82">
      <c r="O4233" s="89" t="n"/>
    </row>
    <row r="4234" customFormat="1" s="82">
      <c r="O4234" s="89" t="n"/>
    </row>
    <row r="4235" customFormat="1" s="82">
      <c r="O4235" s="89" t="n"/>
    </row>
    <row r="4236" customFormat="1" s="82">
      <c r="O4236" s="89" t="n"/>
    </row>
    <row r="4237" customFormat="1" s="82">
      <c r="O4237" s="89" t="n"/>
    </row>
    <row r="4238" customFormat="1" s="82">
      <c r="O4238" s="89" t="n"/>
    </row>
    <row r="4239" customFormat="1" s="82">
      <c r="O4239" s="89" t="n"/>
    </row>
    <row r="4240" customFormat="1" s="82">
      <c r="O4240" s="89" t="n"/>
    </row>
    <row r="4241" customFormat="1" s="82">
      <c r="O4241" s="89" t="n"/>
    </row>
    <row r="4242" customFormat="1" s="82">
      <c r="O4242" s="89" t="n"/>
    </row>
    <row r="4243" customFormat="1" s="82">
      <c r="O4243" s="89" t="n"/>
    </row>
    <row r="4244" customFormat="1" s="82">
      <c r="O4244" s="89" t="n"/>
    </row>
    <row r="4245" customFormat="1" s="82">
      <c r="O4245" s="89" t="n"/>
    </row>
    <row r="4246" customFormat="1" s="82">
      <c r="O4246" s="89" t="n"/>
    </row>
    <row r="4247" customFormat="1" s="82">
      <c r="O4247" s="89" t="n"/>
    </row>
    <row r="4248" customFormat="1" s="82">
      <c r="O4248" s="89" t="n"/>
    </row>
    <row r="4249" customFormat="1" s="82">
      <c r="O4249" s="89" t="n"/>
    </row>
    <row r="4250" customFormat="1" s="82">
      <c r="O4250" s="89" t="n"/>
    </row>
    <row r="4251" customFormat="1" s="82">
      <c r="O4251" s="89" t="n"/>
    </row>
    <row r="4252" customFormat="1" s="82">
      <c r="O4252" s="89" t="n"/>
    </row>
    <row r="4253" customFormat="1" s="82">
      <c r="O4253" s="89" t="n"/>
    </row>
    <row r="4254" customFormat="1" s="82">
      <c r="O4254" s="89" t="n"/>
    </row>
    <row r="4255" customFormat="1" s="82">
      <c r="O4255" s="89" t="n"/>
    </row>
    <row r="4256" customFormat="1" s="82">
      <c r="O4256" s="89" t="n"/>
    </row>
    <row r="4257" customFormat="1" s="82">
      <c r="O4257" s="89" t="n"/>
    </row>
    <row r="4258" customFormat="1" s="82">
      <c r="O4258" s="89" t="n"/>
    </row>
    <row r="4259" customFormat="1" s="82">
      <c r="O4259" s="89" t="n"/>
    </row>
    <row r="4260" customFormat="1" s="82">
      <c r="O4260" s="89" t="n"/>
    </row>
    <row r="4261" customFormat="1" s="82">
      <c r="O4261" s="89" t="n"/>
    </row>
    <row r="4262" customFormat="1" s="82">
      <c r="O4262" s="89" t="n"/>
    </row>
    <row r="4263" customFormat="1" s="82">
      <c r="O4263" s="89" t="n"/>
    </row>
    <row r="4264" customFormat="1" s="82">
      <c r="O4264" s="89" t="n"/>
    </row>
    <row r="4265" customFormat="1" s="82">
      <c r="O4265" s="89" t="n"/>
    </row>
    <row r="4266" customFormat="1" s="82">
      <c r="O4266" s="89" t="n"/>
    </row>
    <row r="4267" customFormat="1" s="82">
      <c r="O4267" s="89" t="n"/>
    </row>
    <row r="4268" customFormat="1" s="82">
      <c r="O4268" s="89" t="n"/>
    </row>
    <row r="4269" customFormat="1" s="82">
      <c r="O4269" s="89" t="n"/>
    </row>
    <row r="4270" customFormat="1" s="82">
      <c r="O4270" s="89" t="n"/>
    </row>
    <row r="4271" customFormat="1" s="82">
      <c r="O4271" s="89" t="n"/>
    </row>
    <row r="4272" customFormat="1" s="82">
      <c r="O4272" s="89" t="n"/>
    </row>
    <row r="4273" customFormat="1" s="82">
      <c r="O4273" s="89" t="n"/>
    </row>
    <row r="4274" customFormat="1" s="82">
      <c r="O4274" s="89" t="n"/>
    </row>
    <row r="4275" customFormat="1" s="82">
      <c r="O4275" s="89" t="n"/>
    </row>
    <row r="4276" customFormat="1" s="82">
      <c r="O4276" s="89" t="n"/>
    </row>
    <row r="4277" customFormat="1" s="82">
      <c r="O4277" s="89" t="n"/>
    </row>
    <row r="4278" customFormat="1" s="82">
      <c r="O4278" s="89" t="n"/>
    </row>
    <row r="4279" customFormat="1" s="82">
      <c r="O4279" s="89" t="n"/>
    </row>
    <row r="4280" customFormat="1" s="82">
      <c r="O4280" s="89" t="n"/>
    </row>
    <row r="4281" customFormat="1" s="82">
      <c r="O4281" s="89" t="n"/>
    </row>
    <row r="4282" customFormat="1" s="82">
      <c r="O4282" s="89" t="n"/>
    </row>
    <row r="4283" customFormat="1" s="82">
      <c r="O4283" s="89" t="n"/>
    </row>
    <row r="4284" customFormat="1" s="82">
      <c r="O4284" s="89" t="n"/>
    </row>
    <row r="4285" customFormat="1" s="82">
      <c r="O4285" s="89" t="n"/>
    </row>
    <row r="4286" customFormat="1" s="82">
      <c r="O4286" s="89" t="n"/>
    </row>
    <row r="4287" customFormat="1" s="82">
      <c r="O4287" s="89" t="n"/>
    </row>
    <row r="4288" customFormat="1" s="82">
      <c r="O4288" s="89" t="n"/>
    </row>
    <row r="4289" customFormat="1" s="82">
      <c r="O4289" s="89" t="n"/>
    </row>
    <row r="4290" customFormat="1" s="82">
      <c r="O4290" s="89" t="n"/>
    </row>
    <row r="4291" customFormat="1" s="82">
      <c r="O4291" s="89" t="n"/>
    </row>
    <row r="4292" customFormat="1" s="82">
      <c r="O4292" s="89" t="n"/>
    </row>
    <row r="4293" customFormat="1" s="82">
      <c r="O4293" s="89" t="n"/>
    </row>
    <row r="4294" customFormat="1" s="82">
      <c r="O4294" s="89" t="n"/>
    </row>
    <row r="4295" customFormat="1" s="82">
      <c r="O4295" s="89" t="n"/>
    </row>
    <row r="4296" customFormat="1" s="82">
      <c r="O4296" s="89" t="n"/>
    </row>
    <row r="4297" customFormat="1" s="82">
      <c r="O4297" s="89" t="n"/>
    </row>
    <row r="4298" customFormat="1" s="82">
      <c r="O4298" s="89" t="n"/>
    </row>
    <row r="4299" customFormat="1" s="82">
      <c r="O4299" s="89" t="n"/>
    </row>
    <row r="4300" customFormat="1" s="82">
      <c r="O4300" s="89" t="n"/>
    </row>
    <row r="4301" customFormat="1" s="82">
      <c r="O4301" s="89" t="n"/>
    </row>
    <row r="4302" customFormat="1" s="82">
      <c r="O4302" s="89" t="n"/>
    </row>
    <row r="4303" customFormat="1" s="82">
      <c r="O4303" s="89" t="n"/>
    </row>
    <row r="4304" customFormat="1" s="82">
      <c r="O4304" s="89" t="n"/>
    </row>
    <row r="4305" customFormat="1" s="82">
      <c r="O4305" s="89" t="n"/>
    </row>
    <row r="4306" customFormat="1" s="82">
      <c r="O4306" s="89" t="n"/>
    </row>
    <row r="4307" customFormat="1" s="82">
      <c r="O4307" s="89" t="n"/>
    </row>
    <row r="4308" customFormat="1" s="82">
      <c r="O4308" s="89" t="n"/>
    </row>
    <row r="4309" customFormat="1" s="82">
      <c r="O4309" s="89" t="n"/>
    </row>
    <row r="4310" customFormat="1" s="82">
      <c r="O4310" s="89" t="n"/>
    </row>
    <row r="4311" customFormat="1" s="82">
      <c r="O4311" s="89" t="n"/>
    </row>
    <row r="4312" customFormat="1" s="82">
      <c r="O4312" s="89" t="n"/>
    </row>
    <row r="4313" customFormat="1" s="82">
      <c r="O4313" s="89" t="n"/>
    </row>
    <row r="4314" customFormat="1" s="82">
      <c r="O4314" s="89" t="n"/>
    </row>
    <row r="4315" customFormat="1" s="82">
      <c r="O4315" s="89" t="n"/>
    </row>
    <row r="4316" customFormat="1" s="82">
      <c r="O4316" s="89" t="n"/>
    </row>
    <row r="4317" customFormat="1" s="82">
      <c r="O4317" s="89" t="n"/>
    </row>
    <row r="4318" customFormat="1" s="82">
      <c r="O4318" s="89" t="n"/>
    </row>
    <row r="4319" customFormat="1" s="82">
      <c r="O4319" s="89" t="n"/>
    </row>
    <row r="4320" customFormat="1" s="82">
      <c r="O4320" s="89" t="n"/>
    </row>
    <row r="4321" customFormat="1" s="82">
      <c r="O4321" s="89" t="n"/>
    </row>
    <row r="4322" customFormat="1" s="82">
      <c r="O4322" s="89" t="n"/>
    </row>
    <row r="4323" customFormat="1" s="82">
      <c r="O4323" s="89" t="n"/>
    </row>
    <row r="4324" customFormat="1" s="82">
      <c r="O4324" s="89" t="n"/>
    </row>
    <row r="4325" customFormat="1" s="82">
      <c r="O4325" s="89" t="n"/>
    </row>
    <row r="4326" customFormat="1" s="82">
      <c r="O4326" s="89" t="n"/>
    </row>
    <row r="4327" customFormat="1" s="82">
      <c r="O4327" s="89" t="n"/>
    </row>
    <row r="4328" customFormat="1" s="82">
      <c r="O4328" s="89" t="n"/>
    </row>
    <row r="4329" customFormat="1" s="82">
      <c r="O4329" s="89" t="n"/>
    </row>
    <row r="4330" customFormat="1" s="82">
      <c r="O4330" s="89" t="n"/>
    </row>
    <row r="4331" customFormat="1" s="82">
      <c r="O4331" s="89" t="n"/>
    </row>
    <row r="4332" customFormat="1" s="82">
      <c r="O4332" s="89" t="n"/>
    </row>
    <row r="4333" customFormat="1" s="82">
      <c r="O4333" s="89" t="n"/>
    </row>
    <row r="4334" customFormat="1" s="82">
      <c r="O4334" s="89" t="n"/>
    </row>
    <row r="4335" customFormat="1" s="82">
      <c r="O4335" s="89" t="n"/>
    </row>
    <row r="4336" customFormat="1" s="82">
      <c r="O4336" s="89" t="n"/>
    </row>
    <row r="4337" customFormat="1" s="82">
      <c r="O4337" s="89" t="n"/>
    </row>
    <row r="4338" customFormat="1" s="82">
      <c r="O4338" s="89" t="n"/>
    </row>
    <row r="4339" customFormat="1" s="82">
      <c r="O4339" s="89" t="n"/>
    </row>
    <row r="4340" customFormat="1" s="82">
      <c r="O4340" s="89" t="n"/>
    </row>
    <row r="4341" customFormat="1" s="82">
      <c r="O4341" s="89" t="n"/>
    </row>
    <row r="4342" customFormat="1" s="82">
      <c r="O4342" s="89" t="n"/>
    </row>
    <row r="4343" customFormat="1" s="82">
      <c r="O4343" s="89" t="n"/>
    </row>
    <row r="4344" customFormat="1" s="82">
      <c r="O4344" s="89" t="n"/>
    </row>
    <row r="4345" customFormat="1" s="82">
      <c r="O4345" s="89" t="n"/>
    </row>
    <row r="4346" customFormat="1" s="82">
      <c r="O4346" s="89" t="n"/>
    </row>
    <row r="4347" customFormat="1" s="82">
      <c r="O4347" s="89" t="n"/>
    </row>
    <row r="4348" customFormat="1" s="82">
      <c r="O4348" s="89" t="n"/>
    </row>
    <row r="4349" customFormat="1" s="82">
      <c r="O4349" s="89" t="n"/>
    </row>
    <row r="4350" customFormat="1" s="82">
      <c r="O4350" s="89" t="n"/>
    </row>
    <row r="4351" customFormat="1" s="82">
      <c r="O4351" s="89" t="n"/>
    </row>
    <row r="4352" customFormat="1" s="82">
      <c r="O4352" s="89" t="n"/>
    </row>
    <row r="4353" customFormat="1" s="82">
      <c r="O4353" s="89" t="n"/>
    </row>
    <row r="4354" customFormat="1" s="82">
      <c r="O4354" s="89" t="n"/>
    </row>
    <row r="4355" customFormat="1" s="82">
      <c r="O4355" s="89" t="n"/>
    </row>
    <row r="4356" customFormat="1" s="82">
      <c r="O4356" s="89" t="n"/>
    </row>
    <row r="4357" customFormat="1" s="82">
      <c r="O4357" s="89" t="n"/>
    </row>
    <row r="4358" customFormat="1" s="82">
      <c r="O4358" s="89" t="n"/>
    </row>
    <row r="4359" customFormat="1" s="82">
      <c r="O4359" s="89" t="n"/>
    </row>
    <row r="4360" customFormat="1" s="82">
      <c r="O4360" s="89" t="n"/>
    </row>
    <row r="4361" customFormat="1" s="82">
      <c r="O4361" s="89" t="n"/>
    </row>
    <row r="4362" customFormat="1" s="82">
      <c r="O4362" s="89" t="n"/>
    </row>
    <row r="4363" customFormat="1" s="82">
      <c r="O4363" s="89" t="n"/>
    </row>
    <row r="4364" customFormat="1" s="82">
      <c r="O4364" s="89" t="n"/>
    </row>
    <row r="4365" customFormat="1" s="82">
      <c r="O4365" s="89" t="n"/>
    </row>
    <row r="4366" customFormat="1" s="82">
      <c r="O4366" s="89" t="n"/>
    </row>
    <row r="4367" customFormat="1" s="82">
      <c r="O4367" s="89" t="n"/>
    </row>
    <row r="4368" customFormat="1" s="82">
      <c r="O4368" s="89" t="n"/>
    </row>
    <row r="4369" customFormat="1" s="82">
      <c r="O4369" s="89" t="n"/>
    </row>
    <row r="4370" customFormat="1" s="82">
      <c r="O4370" s="89" t="n"/>
    </row>
    <row r="4371" customFormat="1" s="82">
      <c r="O4371" s="89" t="n"/>
    </row>
    <row r="4372" customFormat="1" s="82">
      <c r="O4372" s="89" t="n"/>
    </row>
    <row r="4373" customFormat="1" s="82">
      <c r="O4373" s="89" t="n"/>
    </row>
    <row r="4374" customFormat="1" s="82">
      <c r="O4374" s="89" t="n"/>
    </row>
    <row r="4375" customFormat="1" s="82">
      <c r="O4375" s="89" t="n"/>
    </row>
    <row r="4376" customFormat="1" s="82">
      <c r="O4376" s="89" t="n"/>
    </row>
    <row r="4377" customFormat="1" s="82">
      <c r="O4377" s="89" t="n"/>
    </row>
    <row r="4378" customFormat="1" s="82">
      <c r="O4378" s="89" t="n"/>
    </row>
    <row r="4379" customFormat="1" s="82">
      <c r="O4379" s="89" t="n"/>
    </row>
    <row r="4380" customFormat="1" s="82">
      <c r="O4380" s="89" t="n"/>
    </row>
    <row r="4381" customFormat="1" s="82">
      <c r="O4381" s="89" t="n"/>
    </row>
    <row r="4382" customFormat="1" s="82">
      <c r="O4382" s="89" t="n"/>
    </row>
    <row r="4383" customFormat="1" s="82">
      <c r="O4383" s="89" t="n"/>
    </row>
    <row r="4384" customFormat="1" s="82">
      <c r="O4384" s="89" t="n"/>
    </row>
    <row r="4385" customFormat="1" s="82">
      <c r="O4385" s="89" t="n"/>
    </row>
    <row r="4386" customFormat="1" s="82">
      <c r="O4386" s="89" t="n"/>
    </row>
    <row r="4387" customFormat="1" s="82">
      <c r="O4387" s="89" t="n"/>
    </row>
    <row r="4388" customFormat="1" s="82">
      <c r="O4388" s="89" t="n"/>
    </row>
    <row r="4389" customFormat="1" s="82">
      <c r="O4389" s="89" t="n"/>
    </row>
    <row r="4390" customFormat="1" s="82">
      <c r="O4390" s="89" t="n"/>
    </row>
    <row r="4391" customFormat="1" s="82">
      <c r="O4391" s="89" t="n"/>
    </row>
    <row r="4392" customFormat="1" s="82">
      <c r="O4392" s="89" t="n"/>
    </row>
    <row r="4393" customFormat="1" s="82">
      <c r="O4393" s="89" t="n"/>
    </row>
    <row r="4394" customFormat="1" s="82">
      <c r="O4394" s="89" t="n"/>
    </row>
    <row r="4395" customFormat="1" s="82">
      <c r="O4395" s="89" t="n"/>
    </row>
    <row r="4396" customFormat="1" s="82">
      <c r="O4396" s="89" t="n"/>
    </row>
    <row r="4397" customFormat="1" s="82">
      <c r="O4397" s="89" t="n"/>
    </row>
    <row r="4398" customFormat="1" s="82">
      <c r="O4398" s="89" t="n"/>
    </row>
    <row r="4399" customFormat="1" s="82">
      <c r="O4399" s="89" t="n"/>
    </row>
    <row r="4400" customFormat="1" s="82">
      <c r="O4400" s="89" t="n"/>
    </row>
    <row r="4401" customFormat="1" s="82">
      <c r="O4401" s="89" t="n"/>
    </row>
    <row r="4402" customFormat="1" s="82">
      <c r="O4402" s="89" t="n"/>
    </row>
    <row r="4403" customFormat="1" s="82">
      <c r="O4403" s="89" t="n"/>
    </row>
    <row r="4404" customFormat="1" s="82">
      <c r="O4404" s="89" t="n"/>
    </row>
    <row r="4405" customFormat="1" s="82">
      <c r="O4405" s="89" t="n"/>
    </row>
    <row r="4406" customFormat="1" s="82">
      <c r="O4406" s="89" t="n"/>
    </row>
    <row r="4407" customFormat="1" s="82">
      <c r="O4407" s="89" t="n"/>
    </row>
    <row r="4408" customFormat="1" s="82">
      <c r="O4408" s="89" t="n"/>
    </row>
    <row r="4409" customFormat="1" s="82">
      <c r="O4409" s="89" t="n"/>
    </row>
    <row r="4410" customFormat="1" s="82">
      <c r="O4410" s="89" t="n"/>
    </row>
    <row r="4411" customFormat="1" s="82">
      <c r="O4411" s="89" t="n"/>
    </row>
    <row r="4412" customFormat="1" s="82">
      <c r="O4412" s="89" t="n"/>
    </row>
    <row r="4413" customFormat="1" s="82">
      <c r="O4413" s="89" t="n"/>
    </row>
    <row r="4414" customFormat="1" s="82">
      <c r="O4414" s="89" t="n"/>
    </row>
    <row r="4415" customFormat="1" s="82">
      <c r="O4415" s="89" t="n"/>
    </row>
    <row r="4416" customFormat="1" s="82">
      <c r="O4416" s="89" t="n"/>
    </row>
    <row r="4417" customFormat="1" s="82">
      <c r="O4417" s="89" t="n"/>
    </row>
    <row r="4418" customFormat="1" s="82">
      <c r="O4418" s="89" t="n"/>
    </row>
    <row r="4419" customFormat="1" s="82">
      <c r="O4419" s="89" t="n"/>
    </row>
    <row r="4420" customFormat="1" s="82">
      <c r="O4420" s="89" t="n"/>
    </row>
    <row r="4421" customFormat="1" s="82">
      <c r="O4421" s="89" t="n"/>
    </row>
    <row r="4422" customFormat="1" s="82">
      <c r="O4422" s="89" t="n"/>
    </row>
    <row r="4423" customFormat="1" s="82">
      <c r="O4423" s="89" t="n"/>
    </row>
    <row r="4424" customFormat="1" s="82">
      <c r="O4424" s="89" t="n"/>
    </row>
    <row r="4425" customFormat="1" s="82">
      <c r="O4425" s="89" t="n"/>
    </row>
    <row r="4426" customFormat="1" s="82">
      <c r="O4426" s="89" t="n"/>
    </row>
    <row r="4427" customFormat="1" s="82">
      <c r="O4427" s="89" t="n"/>
    </row>
    <row r="4428" customFormat="1" s="82">
      <c r="O4428" s="89" t="n"/>
    </row>
    <row r="4429" customFormat="1" s="82">
      <c r="O4429" s="89" t="n"/>
    </row>
    <row r="4430" customFormat="1" s="82">
      <c r="O4430" s="89" t="n"/>
    </row>
    <row r="4431" customFormat="1" s="82">
      <c r="O4431" s="89" t="n"/>
    </row>
    <row r="4432" customFormat="1" s="82">
      <c r="O4432" s="89" t="n"/>
    </row>
    <row r="4433" customFormat="1" s="82">
      <c r="O4433" s="89" t="n"/>
    </row>
    <row r="4434" customFormat="1" s="82">
      <c r="O4434" s="89" t="n"/>
    </row>
    <row r="4435" customFormat="1" s="82">
      <c r="O4435" s="89" t="n"/>
    </row>
    <row r="4436" customFormat="1" s="82">
      <c r="O4436" s="89" t="n"/>
    </row>
    <row r="4437" customFormat="1" s="82">
      <c r="O4437" s="89" t="n"/>
    </row>
    <row r="4438" customFormat="1" s="82">
      <c r="O4438" s="89" t="n"/>
    </row>
    <row r="4439" customFormat="1" s="82">
      <c r="O4439" s="89" t="n"/>
    </row>
    <row r="4440" customFormat="1" s="82">
      <c r="O4440" s="89" t="n"/>
    </row>
    <row r="4441" customFormat="1" s="82">
      <c r="O4441" s="89" t="n"/>
    </row>
    <row r="4442" customFormat="1" s="82">
      <c r="O4442" s="89" t="n"/>
    </row>
    <row r="4443" customFormat="1" s="82">
      <c r="O4443" s="89" t="n"/>
    </row>
    <row r="4444" customFormat="1" s="82">
      <c r="O4444" s="89" t="n"/>
    </row>
    <row r="4445" customFormat="1" s="82">
      <c r="O4445" s="89" t="n"/>
    </row>
    <row r="4446" customFormat="1" s="82">
      <c r="O4446" s="89" t="n"/>
    </row>
    <row r="4447" customFormat="1" s="82">
      <c r="O4447" s="89" t="n"/>
    </row>
    <row r="4448" customFormat="1" s="82">
      <c r="O4448" s="89" t="n"/>
    </row>
    <row r="4449" customFormat="1" s="82">
      <c r="O4449" s="89" t="n"/>
    </row>
    <row r="4450" customFormat="1" s="82">
      <c r="O4450" s="89" t="n"/>
    </row>
    <row r="4451" customFormat="1" s="82">
      <c r="O4451" s="89" t="n"/>
    </row>
    <row r="4452" customFormat="1" s="82">
      <c r="O4452" s="89" t="n"/>
    </row>
    <row r="4453" customFormat="1" s="82">
      <c r="O4453" s="89" t="n"/>
    </row>
    <row r="4454" customFormat="1" s="82">
      <c r="O4454" s="89" t="n"/>
    </row>
    <row r="4455" customFormat="1" s="82">
      <c r="O4455" s="89" t="n"/>
    </row>
    <row r="4456" customFormat="1" s="82">
      <c r="O4456" s="89" t="n"/>
    </row>
    <row r="4457" customFormat="1" s="82">
      <c r="O4457" s="89" t="n"/>
    </row>
    <row r="4458" customFormat="1" s="82">
      <c r="O4458" s="89" t="n"/>
    </row>
    <row r="4459" customFormat="1" s="82">
      <c r="O4459" s="89" t="n"/>
    </row>
    <row r="4460" customFormat="1" s="82">
      <c r="O4460" s="89" t="n"/>
    </row>
    <row r="4461" customFormat="1" s="82">
      <c r="O4461" s="89" t="n"/>
    </row>
    <row r="4462" customFormat="1" s="82">
      <c r="O4462" s="89" t="n"/>
    </row>
    <row r="4463" customFormat="1" s="82">
      <c r="O4463" s="89" t="n"/>
    </row>
    <row r="4464" customFormat="1" s="82">
      <c r="O4464" s="89" t="n"/>
    </row>
    <row r="4465" customFormat="1" s="82">
      <c r="O4465" s="89" t="n"/>
    </row>
    <row r="4466" customFormat="1" s="82">
      <c r="O4466" s="89" t="n"/>
    </row>
    <row r="4467" customFormat="1" s="82">
      <c r="O4467" s="89" t="n"/>
    </row>
    <row r="4468" customFormat="1" s="82">
      <c r="O4468" s="89" t="n"/>
    </row>
    <row r="4469" customFormat="1" s="82">
      <c r="O4469" s="89" t="n"/>
    </row>
    <row r="4470" customFormat="1" s="82">
      <c r="O4470" s="89" t="n"/>
    </row>
    <row r="4471" customFormat="1" s="82">
      <c r="O4471" s="89" t="n"/>
    </row>
    <row r="4472" customFormat="1" s="82">
      <c r="O4472" s="89" t="n"/>
    </row>
    <row r="4473" customFormat="1" s="82">
      <c r="O4473" s="89" t="n"/>
    </row>
    <row r="4474" customFormat="1" s="82">
      <c r="O4474" s="89" t="n"/>
    </row>
    <row r="4475" customFormat="1" s="82">
      <c r="O4475" s="89" t="n"/>
    </row>
    <row r="4476" customFormat="1" s="82">
      <c r="O4476" s="89" t="n"/>
    </row>
    <row r="4477" customFormat="1" s="82">
      <c r="O4477" s="89" t="n"/>
    </row>
    <row r="4478" customFormat="1" s="82">
      <c r="O4478" s="89" t="n"/>
    </row>
    <row r="4479" customFormat="1" s="82">
      <c r="O4479" s="89" t="n"/>
    </row>
    <row r="4480" customFormat="1" s="82">
      <c r="O4480" s="89" t="n"/>
    </row>
    <row r="4481" customFormat="1" s="82">
      <c r="O4481" s="89" t="n"/>
    </row>
    <row r="4482" customFormat="1" s="82">
      <c r="O4482" s="89" t="n"/>
    </row>
    <row r="4483" customFormat="1" s="82">
      <c r="O4483" s="89" t="n"/>
    </row>
    <row r="4484" customFormat="1" s="82">
      <c r="O4484" s="89" t="n"/>
    </row>
    <row r="4485" customFormat="1" s="82">
      <c r="O4485" s="89" t="n"/>
    </row>
    <row r="4486" customFormat="1" s="82">
      <c r="O4486" s="89" t="n"/>
    </row>
    <row r="4487" customFormat="1" s="82">
      <c r="O4487" s="89" t="n"/>
    </row>
    <row r="4488" customFormat="1" s="82">
      <c r="O4488" s="89" t="n"/>
    </row>
    <row r="4489" customFormat="1" s="82">
      <c r="O4489" s="89" t="n"/>
    </row>
    <row r="4490" customFormat="1" s="82">
      <c r="O4490" s="89" t="n"/>
    </row>
    <row r="4491" customFormat="1" s="82">
      <c r="O4491" s="89" t="n"/>
    </row>
    <row r="4492" customFormat="1" s="82">
      <c r="O4492" s="89" t="n"/>
    </row>
    <row r="4493" customFormat="1" s="82">
      <c r="O4493" s="89" t="n"/>
    </row>
    <row r="4494" customFormat="1" s="82">
      <c r="O4494" s="89" t="n"/>
    </row>
    <row r="4495" customFormat="1" s="82">
      <c r="O4495" s="89" t="n"/>
    </row>
    <row r="4496" customFormat="1" s="82">
      <c r="O4496" s="89" t="n"/>
    </row>
    <row r="4497" customFormat="1" s="82">
      <c r="O4497" s="89" t="n"/>
    </row>
    <row r="4498" customFormat="1" s="82">
      <c r="O4498" s="89" t="n"/>
    </row>
    <row r="4499" customFormat="1" s="82">
      <c r="O4499" s="89" t="n"/>
    </row>
    <row r="4500" customFormat="1" s="82">
      <c r="O4500" s="89" t="n"/>
    </row>
    <row r="4501" customFormat="1" s="82">
      <c r="O4501" s="89" t="n"/>
    </row>
    <row r="4502" customFormat="1" s="82">
      <c r="O4502" s="89" t="n"/>
    </row>
    <row r="4503" customFormat="1" s="82">
      <c r="O4503" s="89" t="n"/>
    </row>
    <row r="4504" customFormat="1" s="82">
      <c r="O4504" s="89" t="n"/>
    </row>
    <row r="4505" customFormat="1" s="82">
      <c r="O4505" s="89" t="n"/>
    </row>
    <row r="4506" customFormat="1" s="82">
      <c r="O4506" s="89" t="n"/>
    </row>
    <row r="4507" customFormat="1" s="82">
      <c r="O4507" s="89" t="n"/>
    </row>
    <row r="4508" customFormat="1" s="82">
      <c r="O4508" s="89" t="n"/>
    </row>
    <row r="4509" customFormat="1" s="82">
      <c r="O4509" s="89" t="n"/>
    </row>
    <row r="4510" customFormat="1" s="82">
      <c r="O4510" s="89" t="n"/>
    </row>
    <row r="4511" customFormat="1" s="82">
      <c r="O4511" s="89" t="n"/>
    </row>
    <row r="4512" customFormat="1" s="82">
      <c r="O4512" s="89" t="n"/>
    </row>
    <row r="4513" customFormat="1" s="82">
      <c r="O4513" s="89" t="n"/>
    </row>
    <row r="4514" customFormat="1" s="82">
      <c r="O4514" s="89" t="n"/>
    </row>
    <row r="4515" customFormat="1" s="82">
      <c r="O4515" s="89" t="n"/>
    </row>
    <row r="4516" customFormat="1" s="82">
      <c r="O4516" s="89" t="n"/>
    </row>
    <row r="4517" customFormat="1" s="82">
      <c r="O4517" s="89" t="n"/>
    </row>
    <row r="4518" customFormat="1" s="82">
      <c r="O4518" s="89" t="n"/>
    </row>
    <row r="4519" customFormat="1" s="82">
      <c r="O4519" s="89" t="n"/>
    </row>
    <row r="4520" customFormat="1" s="82">
      <c r="O4520" s="89" t="n"/>
    </row>
    <row r="4521" customFormat="1" s="82">
      <c r="O4521" s="89" t="n"/>
    </row>
    <row r="4522" customFormat="1" s="82">
      <c r="O4522" s="89" t="n"/>
    </row>
    <row r="4523" customFormat="1" s="82">
      <c r="O4523" s="89" t="n"/>
    </row>
    <row r="4524" customFormat="1" s="82">
      <c r="O4524" s="89" t="n"/>
    </row>
    <row r="4525" customFormat="1" s="82">
      <c r="O4525" s="89" t="n"/>
    </row>
    <row r="4526" customFormat="1" s="82">
      <c r="O4526" s="89" t="n"/>
    </row>
    <row r="4527" customFormat="1" s="82">
      <c r="O4527" s="89" t="n"/>
    </row>
    <row r="4528" customFormat="1" s="82">
      <c r="O4528" s="89" t="n"/>
    </row>
    <row r="4529" customFormat="1" s="82">
      <c r="O4529" s="89" t="n"/>
    </row>
    <row r="4530" customFormat="1" s="82">
      <c r="O4530" s="89" t="n"/>
    </row>
    <row r="4531" customFormat="1" s="82">
      <c r="O4531" s="89" t="n"/>
    </row>
    <row r="4532" customFormat="1" s="82">
      <c r="O4532" s="89" t="n"/>
    </row>
    <row r="4533" customFormat="1" s="82">
      <c r="O4533" s="89" t="n"/>
    </row>
    <row r="4534" customFormat="1" s="82">
      <c r="O4534" s="89" t="n"/>
    </row>
    <row r="4535" customFormat="1" s="82">
      <c r="O4535" s="89" t="n"/>
    </row>
    <row r="4536" customFormat="1" s="82">
      <c r="O4536" s="89" t="n"/>
    </row>
    <row r="4537" customFormat="1" s="82">
      <c r="O4537" s="89" t="n"/>
    </row>
    <row r="4538" customFormat="1" s="82">
      <c r="O4538" s="89" t="n"/>
    </row>
    <row r="4539" customFormat="1" s="82">
      <c r="O4539" s="89" t="n"/>
    </row>
    <row r="4540" customFormat="1" s="82">
      <c r="O4540" s="89" t="n"/>
    </row>
    <row r="4541" customFormat="1" s="82">
      <c r="O4541" s="89" t="n"/>
    </row>
    <row r="4542" customFormat="1" s="82">
      <c r="O4542" s="89" t="n"/>
    </row>
    <row r="4543" customFormat="1" s="82">
      <c r="O4543" s="89" t="n"/>
    </row>
    <row r="4544" customFormat="1" s="82">
      <c r="O4544" s="89" t="n"/>
    </row>
    <row r="4545" customFormat="1" s="82">
      <c r="O4545" s="89" t="n"/>
    </row>
    <row r="4546" customFormat="1" s="82">
      <c r="O4546" s="89" t="n"/>
    </row>
    <row r="4547" customFormat="1" s="82">
      <c r="O4547" s="89" t="n"/>
    </row>
    <row r="4548" customFormat="1" s="82">
      <c r="O4548" s="89" t="n"/>
    </row>
    <row r="4549" customFormat="1" s="82">
      <c r="O4549" s="89" t="n"/>
    </row>
    <row r="4550" customFormat="1" s="82">
      <c r="O4550" s="89" t="n"/>
    </row>
    <row r="4551" customFormat="1" s="82">
      <c r="O4551" s="89" t="n"/>
    </row>
    <row r="4552" customFormat="1" s="82">
      <c r="O4552" s="89" t="n"/>
    </row>
    <row r="4553" customFormat="1" s="82">
      <c r="O4553" s="89" t="n"/>
    </row>
    <row r="4554" customFormat="1" s="82">
      <c r="O4554" s="89" t="n"/>
    </row>
    <row r="4555" customFormat="1" s="82">
      <c r="O4555" s="89" t="n"/>
    </row>
    <row r="4556" customFormat="1" s="82">
      <c r="O4556" s="89" t="n"/>
    </row>
    <row r="4557" customFormat="1" s="82">
      <c r="O4557" s="89" t="n"/>
    </row>
    <row r="4558" customFormat="1" s="82">
      <c r="O4558" s="89" t="n"/>
    </row>
    <row r="4559" customFormat="1" s="82">
      <c r="O4559" s="89" t="n"/>
    </row>
    <row r="4560" customFormat="1" s="82">
      <c r="O4560" s="89" t="n"/>
    </row>
    <row r="4561" customFormat="1" s="82">
      <c r="O4561" s="89" t="n"/>
    </row>
    <row r="4562" customFormat="1" s="82">
      <c r="O4562" s="89" t="n"/>
    </row>
    <row r="4563" customFormat="1" s="82">
      <c r="O4563" s="89" t="n"/>
    </row>
    <row r="4564" customFormat="1" s="82">
      <c r="O4564" s="89" t="n"/>
    </row>
    <row r="4565" customFormat="1" s="82">
      <c r="O4565" s="89" t="n"/>
    </row>
    <row r="4566" customFormat="1" s="82">
      <c r="O4566" s="89" t="n"/>
    </row>
    <row r="4567" customFormat="1" s="82">
      <c r="O4567" s="89" t="n"/>
    </row>
    <row r="4568" customFormat="1" s="82">
      <c r="O4568" s="89" t="n"/>
    </row>
    <row r="4569" customFormat="1" s="82">
      <c r="O4569" s="89" t="n"/>
    </row>
    <row r="4570" customFormat="1" s="82">
      <c r="O4570" s="89" t="n"/>
    </row>
    <row r="4571" customFormat="1" s="82">
      <c r="O4571" s="89" t="n"/>
    </row>
    <row r="4572" customFormat="1" s="82">
      <c r="O4572" s="89" t="n"/>
    </row>
    <row r="4573" customFormat="1" s="82">
      <c r="O4573" s="89" t="n"/>
    </row>
    <row r="4574" customFormat="1" s="82">
      <c r="O4574" s="89" t="n"/>
    </row>
    <row r="4575" customFormat="1" s="82">
      <c r="O4575" s="89" t="n"/>
    </row>
    <row r="4576" customFormat="1" s="82">
      <c r="O4576" s="89" t="n"/>
    </row>
    <row r="4577" customFormat="1" s="82">
      <c r="O4577" s="89" t="n"/>
    </row>
    <row r="4578" customFormat="1" s="82">
      <c r="O4578" s="89" t="n"/>
    </row>
    <row r="4579" customFormat="1" s="82">
      <c r="O4579" s="89" t="n"/>
    </row>
    <row r="4580" customFormat="1" s="82">
      <c r="O4580" s="89" t="n"/>
    </row>
    <row r="4581" customFormat="1" s="82">
      <c r="O4581" s="89" t="n"/>
    </row>
    <row r="4582" customFormat="1" s="82">
      <c r="O4582" s="89" t="n"/>
    </row>
    <row r="4583" customFormat="1" s="82">
      <c r="O4583" s="89" t="n"/>
    </row>
    <row r="4584" customFormat="1" s="82">
      <c r="O4584" s="89" t="n"/>
    </row>
    <row r="4585" customFormat="1" s="82">
      <c r="O4585" s="89" t="n"/>
    </row>
    <row r="4586" customFormat="1" s="82">
      <c r="O4586" s="89" t="n"/>
    </row>
    <row r="4587" customFormat="1" s="82">
      <c r="O4587" s="89" t="n"/>
    </row>
    <row r="4588" customFormat="1" s="82">
      <c r="O4588" s="89" t="n"/>
    </row>
    <row r="4589" customFormat="1" s="82">
      <c r="O4589" s="89" t="n"/>
    </row>
    <row r="4590" customFormat="1" s="82">
      <c r="O4590" s="89" t="n"/>
    </row>
    <row r="4591" customFormat="1" s="82">
      <c r="O4591" s="89" t="n"/>
    </row>
    <row r="4592" customFormat="1" s="82">
      <c r="O4592" s="89" t="n"/>
    </row>
    <row r="4593" customFormat="1" s="82">
      <c r="O4593" s="89" t="n"/>
    </row>
    <row r="4594" customFormat="1" s="82">
      <c r="O4594" s="89" t="n"/>
    </row>
    <row r="4595" customFormat="1" s="82">
      <c r="O4595" s="89" t="n"/>
    </row>
    <row r="4596" customFormat="1" s="82">
      <c r="O4596" s="89" t="n"/>
    </row>
    <row r="4597" customFormat="1" s="82">
      <c r="O4597" s="89" t="n"/>
    </row>
    <row r="4598" customFormat="1" s="82">
      <c r="O4598" s="89" t="n"/>
    </row>
    <row r="4599" customFormat="1" s="82">
      <c r="O4599" s="89" t="n"/>
    </row>
    <row r="4600" customFormat="1" s="82">
      <c r="O4600" s="89" t="n"/>
    </row>
    <row r="4601" customFormat="1" s="82">
      <c r="O4601" s="89" t="n"/>
    </row>
    <row r="4602" customFormat="1" s="82">
      <c r="O4602" s="89" t="n"/>
    </row>
    <row r="4603" customFormat="1" s="82">
      <c r="O4603" s="89" t="n"/>
    </row>
    <row r="4604" customFormat="1" s="82">
      <c r="O4604" s="89" t="n"/>
    </row>
    <row r="4605" customFormat="1" s="82">
      <c r="O4605" s="89" t="n"/>
    </row>
    <row r="4606" customFormat="1" s="82">
      <c r="O4606" s="89" t="n"/>
    </row>
    <row r="4607" customFormat="1" s="82">
      <c r="O4607" s="89" t="n"/>
    </row>
    <row r="4608" customFormat="1" s="82">
      <c r="O4608" s="89" t="n"/>
    </row>
    <row r="4609" customFormat="1" s="82">
      <c r="O4609" s="89" t="n"/>
    </row>
    <row r="4610" customFormat="1" s="82">
      <c r="O4610" s="89" t="n"/>
    </row>
    <row r="4611" customFormat="1" s="82">
      <c r="O4611" s="89" t="n"/>
    </row>
    <row r="4612" customFormat="1" s="82">
      <c r="O4612" s="89" t="n"/>
    </row>
    <row r="4613" customFormat="1" s="82">
      <c r="O4613" s="89" t="n"/>
    </row>
    <row r="4614" customFormat="1" s="82">
      <c r="O4614" s="89" t="n"/>
    </row>
    <row r="4615" customFormat="1" s="82">
      <c r="O4615" s="89" t="n"/>
    </row>
    <row r="4616" customFormat="1" s="82">
      <c r="O4616" s="89" t="n"/>
    </row>
    <row r="4617" customFormat="1" s="82">
      <c r="O4617" s="89" t="n"/>
    </row>
    <row r="4618" customFormat="1" s="82">
      <c r="O4618" s="89" t="n"/>
    </row>
    <row r="4619" customFormat="1" s="82">
      <c r="O4619" s="89" t="n"/>
    </row>
    <row r="4620" customFormat="1" s="82">
      <c r="O4620" s="89" t="n"/>
    </row>
    <row r="4621" customFormat="1" s="82">
      <c r="O4621" s="89" t="n"/>
    </row>
    <row r="4622" customFormat="1" s="82">
      <c r="O4622" s="89" t="n"/>
    </row>
    <row r="4623" customFormat="1" s="82">
      <c r="O4623" s="89" t="n"/>
    </row>
    <row r="4624" customFormat="1" s="82">
      <c r="O4624" s="89" t="n"/>
    </row>
    <row r="4625" customFormat="1" s="82">
      <c r="O4625" s="89" t="n"/>
    </row>
    <row r="4626" customFormat="1" s="82">
      <c r="O4626" s="89" t="n"/>
    </row>
    <row r="4627" customFormat="1" s="82">
      <c r="O4627" s="89" t="n"/>
    </row>
    <row r="4628" customFormat="1" s="82">
      <c r="O4628" s="89" t="n"/>
    </row>
    <row r="4629" customFormat="1" s="82">
      <c r="O4629" s="89" t="n"/>
    </row>
    <row r="4630" customFormat="1" s="82">
      <c r="O4630" s="89" t="n"/>
    </row>
    <row r="4631" customFormat="1" s="82">
      <c r="O4631" s="89" t="n"/>
    </row>
    <row r="4632" customFormat="1" s="82">
      <c r="O4632" s="89" t="n"/>
    </row>
    <row r="4633" customFormat="1" s="82">
      <c r="O4633" s="89" t="n"/>
    </row>
    <row r="4634" customFormat="1" s="82">
      <c r="O4634" s="89" t="n"/>
    </row>
    <row r="4635" customFormat="1" s="82">
      <c r="O4635" s="89" t="n"/>
    </row>
    <row r="4636" customFormat="1" s="82">
      <c r="O4636" s="89" t="n"/>
    </row>
    <row r="4637" customFormat="1" s="82">
      <c r="O4637" s="89" t="n"/>
    </row>
    <row r="4638" customFormat="1" s="82">
      <c r="O4638" s="89" t="n"/>
    </row>
    <row r="4639" customFormat="1" s="82">
      <c r="O4639" s="89" t="n"/>
    </row>
    <row r="4640" customFormat="1" s="82">
      <c r="O4640" s="89" t="n"/>
    </row>
    <row r="4641" customFormat="1" s="82">
      <c r="O4641" s="89" t="n"/>
    </row>
    <row r="4642" customFormat="1" s="82">
      <c r="O4642" s="89" t="n"/>
    </row>
    <row r="4643" customFormat="1" s="82">
      <c r="O4643" s="89" t="n"/>
    </row>
    <row r="4644" customFormat="1" s="82">
      <c r="O4644" s="89" t="n"/>
    </row>
    <row r="4645" customFormat="1" s="82">
      <c r="O4645" s="89" t="n"/>
    </row>
    <row r="4646" customFormat="1" s="82">
      <c r="O4646" s="89" t="n"/>
    </row>
    <row r="4647" customFormat="1" s="82">
      <c r="O4647" s="89" t="n"/>
    </row>
    <row r="4648" customFormat="1" s="82">
      <c r="O4648" s="89" t="n"/>
    </row>
    <row r="4649" customFormat="1" s="82">
      <c r="O4649" s="89" t="n"/>
    </row>
    <row r="4650" customFormat="1" s="82">
      <c r="O4650" s="89" t="n"/>
    </row>
    <row r="4651" customFormat="1" s="82">
      <c r="O4651" s="89" t="n"/>
    </row>
    <row r="4652" customFormat="1" s="82">
      <c r="O4652" s="89" t="n"/>
    </row>
    <row r="4653" customFormat="1" s="82">
      <c r="O4653" s="89" t="n"/>
    </row>
    <row r="4654" customFormat="1" s="82">
      <c r="O4654" s="89" t="n"/>
    </row>
    <row r="4655" customFormat="1" s="82">
      <c r="O4655" s="89" t="n"/>
    </row>
    <row r="4656" customFormat="1" s="82">
      <c r="O4656" s="89" t="n"/>
    </row>
    <row r="4657" customFormat="1" s="82">
      <c r="O4657" s="89" t="n"/>
    </row>
    <row r="4658" customFormat="1" s="82">
      <c r="O4658" s="89" t="n"/>
    </row>
    <row r="4659" customFormat="1" s="82">
      <c r="O4659" s="89" t="n"/>
    </row>
    <row r="4660" customFormat="1" s="82">
      <c r="O4660" s="89" t="n"/>
    </row>
    <row r="4661" customFormat="1" s="82">
      <c r="O4661" s="89" t="n"/>
    </row>
    <row r="4662" customFormat="1" s="82">
      <c r="O4662" s="89" t="n"/>
    </row>
    <row r="4663" customFormat="1" s="82">
      <c r="O4663" s="89" t="n"/>
    </row>
    <row r="4664" customFormat="1" s="82">
      <c r="O4664" s="89" t="n"/>
    </row>
    <row r="4665" customFormat="1" s="82">
      <c r="O4665" s="89" t="n"/>
    </row>
    <row r="4666" customFormat="1" s="82">
      <c r="O4666" s="89" t="n"/>
    </row>
    <row r="4667" customFormat="1" s="82">
      <c r="O4667" s="89" t="n"/>
    </row>
    <row r="4668" customFormat="1" s="82">
      <c r="O4668" s="89" t="n"/>
    </row>
    <row r="4669" customFormat="1" s="82">
      <c r="O4669" s="89" t="n"/>
    </row>
    <row r="4670" customFormat="1" s="82">
      <c r="O4670" s="89" t="n"/>
    </row>
    <row r="4671" customFormat="1" s="82">
      <c r="O4671" s="89" t="n"/>
    </row>
    <row r="4672" customFormat="1" s="82">
      <c r="O4672" s="89" t="n"/>
    </row>
    <row r="4673" customFormat="1" s="82">
      <c r="O4673" s="89" t="n"/>
    </row>
    <row r="4674" customFormat="1" s="82">
      <c r="O4674" s="89" t="n"/>
    </row>
    <row r="4675" customFormat="1" s="82">
      <c r="O4675" s="89" t="n"/>
    </row>
    <row r="4676" customFormat="1" s="82">
      <c r="O4676" s="89" t="n"/>
    </row>
    <row r="4677" customFormat="1" s="82">
      <c r="O4677" s="89" t="n"/>
    </row>
    <row r="4678" customFormat="1" s="82">
      <c r="O4678" s="89" t="n"/>
    </row>
    <row r="4679" customFormat="1" s="82">
      <c r="O4679" s="89" t="n"/>
    </row>
    <row r="4680" customFormat="1" s="82">
      <c r="O4680" s="89" t="n"/>
    </row>
    <row r="4681" customFormat="1" s="82">
      <c r="O4681" s="89" t="n"/>
    </row>
    <row r="4682" customFormat="1" s="82">
      <c r="O4682" s="89" t="n"/>
    </row>
    <row r="4683" customFormat="1" s="82">
      <c r="O4683" s="89" t="n"/>
    </row>
    <row r="4684" customFormat="1" s="82">
      <c r="O4684" s="89" t="n"/>
    </row>
    <row r="4685" customFormat="1" s="82">
      <c r="O4685" s="89" t="n"/>
    </row>
    <row r="4686" customFormat="1" s="82">
      <c r="O4686" s="89" t="n"/>
    </row>
    <row r="4687" customFormat="1" s="82">
      <c r="O4687" s="89" t="n"/>
    </row>
    <row r="4688" customFormat="1" s="82">
      <c r="O4688" s="89" t="n"/>
    </row>
    <row r="4689" customFormat="1" s="82">
      <c r="O4689" s="89" t="n"/>
    </row>
    <row r="4690" customFormat="1" s="82">
      <c r="O4690" s="89" t="n"/>
    </row>
    <row r="4691" customFormat="1" s="82">
      <c r="O4691" s="89" t="n"/>
    </row>
    <row r="4692" customFormat="1" s="82">
      <c r="O4692" s="89" t="n"/>
    </row>
    <row r="4693" customFormat="1" s="82">
      <c r="O4693" s="89" t="n"/>
    </row>
    <row r="4694" customFormat="1" s="82">
      <c r="O4694" s="89" t="n"/>
    </row>
    <row r="4695" customFormat="1" s="82">
      <c r="O4695" s="89" t="n"/>
    </row>
    <row r="4696" customFormat="1" s="82">
      <c r="O4696" s="89" t="n"/>
    </row>
    <row r="4697" customFormat="1" s="82">
      <c r="O4697" s="89" t="n"/>
    </row>
    <row r="4698" customFormat="1" s="82">
      <c r="O4698" s="89" t="n"/>
    </row>
    <row r="4699" customFormat="1" s="82">
      <c r="O4699" s="89" t="n"/>
    </row>
    <row r="4700" customFormat="1" s="82">
      <c r="O4700" s="89" t="n"/>
    </row>
    <row r="4701" customFormat="1" s="82">
      <c r="O4701" s="89" t="n"/>
    </row>
    <row r="4702" customFormat="1" s="82">
      <c r="O4702" s="89" t="n"/>
    </row>
    <row r="4703" customFormat="1" s="82">
      <c r="O4703" s="89" t="n"/>
    </row>
    <row r="4704" customFormat="1" s="82">
      <c r="O4704" s="89" t="n"/>
    </row>
    <row r="4705" customFormat="1" s="82">
      <c r="O4705" s="89" t="n"/>
    </row>
    <row r="4706" customFormat="1" s="82">
      <c r="O4706" s="89" t="n"/>
    </row>
    <row r="4707" customFormat="1" s="82">
      <c r="O4707" s="89" t="n"/>
    </row>
    <row r="4708" customFormat="1" s="82">
      <c r="O4708" s="89" t="n"/>
    </row>
    <row r="4709" customFormat="1" s="82">
      <c r="O4709" s="89" t="n"/>
    </row>
    <row r="4710" customFormat="1" s="82">
      <c r="O4710" s="89" t="n"/>
    </row>
    <row r="4711" customFormat="1" s="82">
      <c r="O4711" s="89" t="n"/>
    </row>
    <row r="4712" customFormat="1" s="82">
      <c r="O4712" s="89" t="n"/>
    </row>
    <row r="4713" customFormat="1" s="82">
      <c r="O4713" s="89" t="n"/>
    </row>
    <row r="4714" customFormat="1" s="82">
      <c r="O4714" s="89" t="n"/>
    </row>
    <row r="4715" customFormat="1" s="82">
      <c r="O4715" s="89" t="n"/>
    </row>
    <row r="4716" customFormat="1" s="82">
      <c r="O4716" s="89" t="n"/>
    </row>
    <row r="4717" customFormat="1" s="82">
      <c r="O4717" s="89" t="n"/>
    </row>
    <row r="4718" customFormat="1" s="82">
      <c r="O4718" s="89" t="n"/>
    </row>
    <row r="4719" customFormat="1" s="82">
      <c r="O4719" s="89" t="n"/>
    </row>
    <row r="4720" customFormat="1" s="82">
      <c r="O4720" s="89" t="n"/>
    </row>
    <row r="4721" customFormat="1" s="82">
      <c r="O4721" s="89" t="n"/>
    </row>
    <row r="4722" customFormat="1" s="82">
      <c r="O4722" s="89" t="n"/>
    </row>
    <row r="4723" customFormat="1" s="82">
      <c r="O4723" s="89" t="n"/>
    </row>
    <row r="4724" customFormat="1" s="82">
      <c r="O4724" s="89" t="n"/>
    </row>
    <row r="4725" customFormat="1" s="82">
      <c r="O4725" s="89" t="n"/>
    </row>
    <row r="4726" customFormat="1" s="82">
      <c r="O4726" s="89" t="n"/>
    </row>
    <row r="4727" customFormat="1" s="82">
      <c r="O4727" s="89" t="n"/>
    </row>
    <row r="4728" customFormat="1" s="82">
      <c r="O4728" s="89" t="n"/>
    </row>
    <row r="4729" customFormat="1" s="82">
      <c r="O4729" s="89" t="n"/>
    </row>
    <row r="4730" customFormat="1" s="82">
      <c r="O4730" s="89" t="n"/>
    </row>
    <row r="4731" customFormat="1" s="82">
      <c r="O4731" s="89" t="n"/>
    </row>
    <row r="4732" customFormat="1" s="82">
      <c r="O4732" s="89" t="n"/>
    </row>
    <row r="4733" customFormat="1" s="82">
      <c r="O4733" s="89" t="n"/>
    </row>
    <row r="4734" customFormat="1" s="82">
      <c r="O4734" s="89" t="n"/>
    </row>
    <row r="4735" customFormat="1" s="82">
      <c r="O4735" s="89" t="n"/>
    </row>
    <row r="4736" customFormat="1" s="82">
      <c r="O4736" s="89" t="n"/>
    </row>
    <row r="4737" customFormat="1" s="82">
      <c r="O4737" s="89" t="n"/>
    </row>
    <row r="4738" customFormat="1" s="82">
      <c r="O4738" s="89" t="n"/>
    </row>
    <row r="4739" customFormat="1" s="82">
      <c r="O4739" s="89" t="n"/>
    </row>
    <row r="4740" customFormat="1" s="82">
      <c r="O4740" s="89" t="n"/>
    </row>
    <row r="4741" customFormat="1" s="82">
      <c r="O4741" s="89" t="n"/>
    </row>
    <row r="4742" customFormat="1" s="82">
      <c r="O4742" s="89" t="n"/>
    </row>
    <row r="4743" customFormat="1" s="82">
      <c r="O4743" s="89" t="n"/>
    </row>
    <row r="4744" customFormat="1" s="82">
      <c r="O4744" s="89" t="n"/>
    </row>
    <row r="4745" customFormat="1" s="82">
      <c r="O4745" s="89" t="n"/>
    </row>
    <row r="4746" customFormat="1" s="82">
      <c r="O4746" s="89" t="n"/>
    </row>
    <row r="4747" customFormat="1" s="82">
      <c r="O4747" s="89" t="n"/>
    </row>
    <row r="4748" customFormat="1" s="82">
      <c r="O4748" s="89" t="n"/>
    </row>
    <row r="4749" customFormat="1" s="82">
      <c r="O4749" s="89" t="n"/>
    </row>
    <row r="4750" customFormat="1" s="82">
      <c r="O4750" s="89" t="n"/>
    </row>
    <row r="4751" customFormat="1" s="82">
      <c r="O4751" s="89" t="n"/>
    </row>
    <row r="4752" customFormat="1" s="82">
      <c r="O4752" s="89" t="n"/>
    </row>
  </sheetData>
  <conditionalFormatting sqref="I1">
    <cfRule type="expression" priority="1" dxfId="5">
      <formula>J1048465&gt;K1048465</formula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AC43"/>
  <sheetViews>
    <sheetView workbookViewId="0">
      <selection activeCell="D7" sqref="D7"/>
    </sheetView>
  </sheetViews>
  <sheetFormatPr baseColWidth="8" defaultRowHeight="15"/>
  <cols>
    <col width="7.5703125" customWidth="1" min="1" max="1"/>
  </cols>
  <sheetData>
    <row r="1" ht="36" customHeight="1">
      <c r="A1" s="3" t="inlineStr">
        <is>
          <t>Employee Record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</row>
    <row r="2">
      <c r="A2" s="4" t="inlineStr">
        <is>
          <t>Name:</t>
        </is>
      </c>
      <c r="B2" s="112" t="n"/>
      <c r="C2" s="113" t="n"/>
      <c r="D2" s="113" t="n"/>
      <c r="E2" s="113" t="n"/>
      <c r="F2" s="114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  <c r="AA2" s="1" t="n"/>
      <c r="AB2" s="1" t="n"/>
      <c r="AC2" s="1" t="n"/>
    </row>
    <row r="3">
      <c r="A3" s="4" t="inlineStr">
        <is>
          <t>Ein:</t>
        </is>
      </c>
      <c r="B3" s="115" t="n"/>
      <c r="C3" s="114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  <c r="AA3" s="1" t="n"/>
      <c r="AB3" s="1" t="n"/>
      <c r="AC3" s="1" t="n"/>
    </row>
    <row r="4" ht="17.25" customHeight="1" thickBot="1">
      <c r="A4" s="1" t="n"/>
      <c r="B4" s="1" t="n"/>
      <c r="C4" s="1" t="n"/>
      <c r="D4" s="1" t="n"/>
      <c r="E4" s="1" t="n"/>
      <c r="F4" s="18" t="inlineStr">
        <is>
          <t>Hours in Subject</t>
        </is>
      </c>
      <c r="G4" s="2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  <c r="V4" s="1" t="n"/>
      <c r="W4" s="1" t="n"/>
      <c r="X4" s="1" t="n"/>
      <c r="Y4" s="1" t="n"/>
      <c r="Z4" s="1" t="n"/>
      <c r="AA4" s="1" t="n"/>
      <c r="AB4" s="1" t="n"/>
      <c r="AC4" s="1" t="n"/>
    </row>
    <row r="5">
      <c r="A5" s="18" t="inlineStr">
        <is>
          <t>Classes:</t>
        </is>
      </c>
      <c r="B5" s="6" t="inlineStr">
        <is>
          <t>PHONES - BENEFITS</t>
        </is>
      </c>
      <c r="C5" s="7" t="n"/>
      <c r="D5" s="7" t="n"/>
      <c r="E5" s="8" t="n"/>
      <c r="F5" s="15" t="n">
        <v>40</v>
      </c>
      <c r="G5" s="1" t="n"/>
      <c r="H5" s="1" t="n"/>
      <c r="I5" s="1" t="n"/>
      <c r="J5" s="1" t="n"/>
      <c r="K5" s="1" t="n"/>
      <c r="L5" s="1" t="n"/>
      <c r="M5" s="1" t="n"/>
      <c r="N5" s="1" t="n"/>
      <c r="O5" s="1" t="n"/>
      <c r="P5" s="1" t="n"/>
      <c r="Q5" s="1" t="n"/>
      <c r="R5" s="1" t="n"/>
      <c r="S5" s="1" t="n"/>
      <c r="T5" s="1" t="n"/>
      <c r="U5" s="1" t="n"/>
      <c r="V5" s="1" t="n"/>
      <c r="W5" s="1" t="n"/>
      <c r="X5" s="1" t="n"/>
      <c r="Y5" s="1" t="n"/>
      <c r="Z5" s="1" t="n"/>
      <c r="AA5" s="1" t="n"/>
      <c r="AB5" s="1" t="n"/>
      <c r="AC5" s="1" t="n"/>
    </row>
    <row r="6">
      <c r="A6" s="1" t="n"/>
      <c r="B6" s="9" t="inlineStr">
        <is>
          <t>PHONES - LWOP</t>
        </is>
      </c>
      <c r="C6" s="10" t="n"/>
      <c r="D6" s="10" t="n"/>
      <c r="E6" s="11" t="n"/>
      <c r="F6" s="16" t="n">
        <v>40</v>
      </c>
      <c r="G6" s="1" t="n"/>
      <c r="H6" s="1" t="n"/>
      <c r="I6" s="1" t="n"/>
      <c r="J6" s="1" t="n"/>
      <c r="K6" s="1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W6" s="1" t="n"/>
      <c r="X6" s="1" t="n"/>
      <c r="Y6" s="1" t="n"/>
      <c r="Z6" s="1" t="n"/>
      <c r="AA6" s="1" t="n"/>
      <c r="AB6" s="1" t="n"/>
      <c r="AC6" s="1" t="n"/>
    </row>
    <row r="7">
      <c r="A7" s="1" t="n"/>
      <c r="B7" s="9" t="inlineStr">
        <is>
          <t>PHONES - EMPLOYMENT VERIFICATION</t>
        </is>
      </c>
      <c r="C7" s="10" t="n"/>
      <c r="D7" s="10" t="n"/>
      <c r="E7" s="11" t="n"/>
      <c r="F7" s="16" t="n">
        <v>40</v>
      </c>
      <c r="G7" s="1" t="n"/>
      <c r="H7" s="1" t="n"/>
      <c r="I7" s="1" t="n"/>
      <c r="J7" s="1" t="n"/>
      <c r="K7" s="1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</row>
    <row r="8">
      <c r="A8" s="1" t="n"/>
      <c r="B8" s="9" t="inlineStr">
        <is>
          <t>PHONES - OPTIONAL RETIREMENTS</t>
        </is>
      </c>
      <c r="C8" s="10" t="n"/>
      <c r="D8" s="10" t="n"/>
      <c r="E8" s="11" t="n"/>
      <c r="F8" s="16" t="n">
        <v>40</v>
      </c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</row>
    <row r="9">
      <c r="A9" s="1" t="n"/>
      <c r="B9" s="9" t="inlineStr">
        <is>
          <t>PHONES - DISABILITY RETIREMENTS</t>
        </is>
      </c>
      <c r="C9" s="10" t="n"/>
      <c r="D9" s="10" t="n"/>
      <c r="E9" s="11" t="n"/>
      <c r="F9" s="16" t="n">
        <v>40</v>
      </c>
      <c r="G9" s="1" t="n"/>
      <c r="H9" s="1" t="n"/>
      <c r="I9" s="1" t="n"/>
      <c r="J9" s="1" t="n"/>
      <c r="K9" s="1" t="n"/>
      <c r="L9" s="1" t="n"/>
      <c r="M9" s="1" t="n"/>
      <c r="N9" s="1" t="n"/>
      <c r="O9" s="1" t="n"/>
      <c r="P9" s="1" t="n"/>
      <c r="Q9" s="1" t="n"/>
      <c r="R9" s="1" t="n"/>
      <c r="S9" s="1" t="n"/>
      <c r="T9" s="1" t="n"/>
      <c r="U9" s="1" t="n"/>
      <c r="V9" s="1" t="n"/>
      <c r="W9" s="1" t="n"/>
      <c r="X9" s="1" t="n"/>
      <c r="Y9" s="1" t="n"/>
      <c r="Z9" s="1" t="n"/>
      <c r="AA9" s="1" t="n"/>
      <c r="AB9" s="1" t="n"/>
      <c r="AC9" s="1" t="n"/>
    </row>
    <row r="10">
      <c r="A10" s="1" t="n"/>
      <c r="B10" s="9" t="inlineStr">
        <is>
          <t>PHONES - FMLA</t>
        </is>
      </c>
      <c r="C10" s="10" t="n"/>
      <c r="D10" s="10" t="n"/>
      <c r="E10" s="11" t="n"/>
      <c r="F10" s="16" t="n">
        <v>40</v>
      </c>
      <c r="G10" s="1" t="n"/>
      <c r="H10" s="1" t="n"/>
      <c r="I10" s="1" t="n"/>
      <c r="J10" s="1" t="n"/>
      <c r="K10" s="1" t="n"/>
      <c r="L10" s="1" t="n"/>
      <c r="M10" s="1" t="n"/>
      <c r="N10" s="1" t="n"/>
      <c r="O10" s="1" t="n"/>
      <c r="P10" s="1" t="n"/>
      <c r="Q10" s="1" t="n"/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  <c r="AA10" s="1" t="n"/>
      <c r="AB10" s="1" t="n"/>
      <c r="AC10" s="1" t="n"/>
    </row>
    <row r="11" ht="15.75" customHeight="1" thickBot="1">
      <c r="A11" s="1" t="n"/>
      <c r="B11" s="12" t="inlineStr">
        <is>
          <t>ADMIN - NEW HIRE - PPA ORIENTATION</t>
        </is>
      </c>
      <c r="C11" s="13" t="n"/>
      <c r="D11" s="13" t="n"/>
      <c r="E11" s="14" t="n"/>
      <c r="F11" s="17" t="n">
        <v>40</v>
      </c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  <c r="AA11" s="1" t="n"/>
      <c r="AB11" s="1" t="n"/>
      <c r="AC11" s="1" t="n"/>
    </row>
    <row r="12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  <c r="AA12" s="1" t="n"/>
      <c r="AB12" s="1" t="n"/>
      <c r="AC12" s="1" t="n"/>
    </row>
    <row r="13">
      <c r="A13" s="1" t="n"/>
      <c r="B13" s="1" t="n"/>
      <c r="C13" s="1" t="n"/>
      <c r="D13" s="1" t="n"/>
      <c r="E13" s="1" t="n"/>
      <c r="F13" s="1" t="n"/>
      <c r="G13" s="1" t="n"/>
      <c r="H13" s="1" t="n"/>
      <c r="I13" s="1" t="n"/>
      <c r="J13" s="1" t="n"/>
      <c r="K13" s="1" t="n"/>
      <c r="L13" s="1" t="n"/>
      <c r="M13" s="1" t="n"/>
      <c r="N13" s="1" t="n"/>
      <c r="O13" s="1" t="n"/>
      <c r="P13" s="1" t="n"/>
      <c r="Q13" s="1" t="n"/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  <c r="AA13" s="1" t="n"/>
      <c r="AB13" s="1" t="n"/>
      <c r="AC13" s="1" t="n"/>
    </row>
    <row r="14">
      <c r="A14" s="1" t="n"/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  <c r="P14" s="1" t="n"/>
      <c r="Q14" s="1" t="n"/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  <c r="AA14" s="1" t="n"/>
      <c r="AB14" s="1" t="n"/>
      <c r="AC14" s="1" t="n"/>
    </row>
    <row r="15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  <c r="AA15" s="1" t="n"/>
      <c r="AB15" s="1" t="n"/>
      <c r="AC15" s="1" t="n"/>
    </row>
    <row r="16">
      <c r="A16" s="1" t="n"/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  <c r="P16" s="1" t="n"/>
      <c r="Q16" s="1" t="n"/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  <c r="AA16" s="1" t="n"/>
      <c r="AB16" s="1" t="n"/>
      <c r="AC16" s="1" t="n"/>
    </row>
    <row r="17">
      <c r="A17" s="1" t="n"/>
      <c r="B17" s="1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  <c r="AA17" s="1" t="n"/>
      <c r="AB17" s="1" t="n"/>
      <c r="AC17" s="1" t="n"/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1" t="n"/>
      <c r="Q18" s="1" t="n"/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  <c r="AA18" s="1" t="n"/>
      <c r="AB18" s="1" t="n"/>
      <c r="AC18" s="1" t="n"/>
    </row>
    <row r="19">
      <c r="A19" s="1" t="n"/>
      <c r="B19" s="1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  <c r="AA19" s="1" t="n"/>
      <c r="AB19" s="1" t="n"/>
      <c r="AC19" s="1" t="n"/>
    </row>
    <row r="20">
      <c r="A20" s="1" t="n"/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1" t="n"/>
      <c r="Q20" s="1" t="n"/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  <c r="AA20" s="1" t="n"/>
      <c r="AB20" s="1" t="n"/>
      <c r="AC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  <c r="AA21" s="1" t="n"/>
      <c r="AB21" s="1" t="n"/>
      <c r="AC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  <c r="P22" s="1" t="n"/>
      <c r="Q22" s="1" t="n"/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  <c r="AA22" s="1" t="n"/>
      <c r="AB22" s="1" t="n"/>
      <c r="AC22" s="1" t="n"/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  <c r="AA23" s="1" t="n"/>
      <c r="AB23" s="1" t="n"/>
      <c r="AC23" s="1" t="n"/>
    </row>
    <row r="24">
      <c r="A24" s="1" t="n"/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  <c r="AA24" s="1" t="n"/>
      <c r="AB24" s="1" t="n"/>
      <c r="AC24" s="1" t="n"/>
    </row>
    <row r="25">
      <c r="A25" s="1" t="n"/>
      <c r="B25" s="1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  <c r="AA25" s="1" t="n"/>
      <c r="AB25" s="1" t="n"/>
      <c r="AC25" s="1" t="n"/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1" t="n"/>
      <c r="Q26" s="1" t="n"/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  <c r="AA26" s="1" t="n"/>
      <c r="AB26" s="1" t="n"/>
      <c r="AC26" s="1" t="n"/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  <c r="AA27" s="1" t="n"/>
      <c r="AB27" s="1" t="n"/>
      <c r="AC27" s="1" t="n"/>
    </row>
    <row r="28">
      <c r="A28" s="1" t="n"/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1" t="n"/>
      <c r="Q28" s="1" t="n"/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  <c r="AA28" s="1" t="n"/>
      <c r="AB28" s="1" t="n"/>
      <c r="AC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1" t="n"/>
      <c r="Q29" s="1" t="n"/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  <c r="AA29" s="1" t="n"/>
      <c r="AB29" s="1" t="n"/>
      <c r="AC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1" t="n"/>
      <c r="Q30" s="1" t="n"/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  <c r="AA30" s="1" t="n"/>
      <c r="AB30" s="1" t="n"/>
      <c r="AC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1" t="n"/>
      <c r="Q31" s="1" t="n"/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  <c r="AA31" s="1" t="n"/>
      <c r="AB31" s="1" t="n"/>
      <c r="AC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1" t="n"/>
      <c r="Q32" s="1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  <c r="AA32" s="1" t="n"/>
      <c r="AB32" s="1" t="n"/>
      <c r="AC32" s="1" t="n"/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1" t="n"/>
      <c r="Q33" s="1" t="n"/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  <c r="AA33" s="1" t="n"/>
      <c r="AB33" s="1" t="n"/>
      <c r="AC33" s="1" t="n"/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1" t="n"/>
      <c r="Q34" s="1" t="n"/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  <c r="AA34" s="1" t="n"/>
      <c r="AB34" s="1" t="n"/>
      <c r="AC34" s="1" t="n"/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1" t="n"/>
      <c r="Q35" s="1" t="n"/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  <c r="AA35" s="1" t="n"/>
      <c r="AB35" s="1" t="n"/>
      <c r="AC35" s="1" t="n"/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1" t="n"/>
      <c r="Q36" s="1" t="n"/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  <c r="AA36" s="1" t="n"/>
      <c r="AB36" s="1" t="n"/>
      <c r="AC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1" t="n"/>
      <c r="Q37" s="1" t="n"/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  <c r="AA37" s="1" t="n"/>
      <c r="AB37" s="1" t="n"/>
      <c r="AC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1" t="n"/>
      <c r="Q38" s="1" t="n"/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  <c r="AA38" s="1" t="n"/>
      <c r="AB38" s="1" t="n"/>
      <c r="AC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1" t="n"/>
      <c r="Q39" s="1" t="n"/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  <c r="AA39" s="1" t="n"/>
      <c r="AB39" s="1" t="n"/>
      <c r="AC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1" t="n"/>
      <c r="Q40" s="1" t="n"/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  <c r="AA40" s="1" t="n"/>
      <c r="AB40" s="1" t="n"/>
      <c r="AC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1" t="n"/>
      <c r="Q41" s="1" t="n"/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  <c r="AA41" s="1" t="n"/>
      <c r="AB41" s="1" t="n"/>
      <c r="AC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1" t="n"/>
      <c r="Q42" s="1" t="n"/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  <c r="AA42" s="1" t="n"/>
      <c r="AB42" s="1" t="n"/>
      <c r="AC42" s="1" t="n"/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1" t="n"/>
      <c r="Q43" s="1" t="n"/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  <c r="AA43" s="1" t="n"/>
      <c r="AB43" s="1" t="n"/>
      <c r="AC43" s="1" t="n"/>
    </row>
  </sheetData>
  <autoFilter ref="A1:A4"/>
  <mergeCells count="2">
    <mergeCell ref="B2:F2"/>
    <mergeCell ref="B3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Herrmann, Jacob J - Greensboro, NC</dc:creator>
  <dcterms:created xsi:type="dcterms:W3CDTF">2024-09-18T19:13:17Z</dcterms:created>
  <dcterms:modified xsi:type="dcterms:W3CDTF">2026-08-13T02:46:17Z</dcterms:modified>
  <cp:lastModifiedBy>Jacob Herrmann</cp:lastModifiedBy>
</cp:coreProperties>
</file>